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JeeLyCooLa\Desktop\ChromiumData\Portfolio\Pricing Tool As Amit\"/>
    </mc:Choice>
  </mc:AlternateContent>
  <bookViews>
    <workbookView xWindow="0" yWindow="0" windowWidth="28665" windowHeight="12285" firstSheet="3" activeTab="3"/>
  </bookViews>
  <sheets>
    <sheet name="PDF Layout" sheetId="22" state="hidden" r:id="rId1"/>
    <sheet name="Legend" sheetId="16" state="hidden" r:id="rId2"/>
    <sheet name="SingleLayout" sheetId="19" state="hidden" r:id="rId3"/>
    <sheet name="Dashboard" sheetId="17" r:id="rId4"/>
    <sheet name="Product Pics" sheetId="23" r:id="rId5"/>
    <sheet name="Products Pricing" sheetId="24" r:id="rId6"/>
    <sheet name="Discounts" sheetId="25" r:id="rId7"/>
  </sheets>
  <definedNames>
    <definedName name="BL">""</definedName>
    <definedName name="LG_ModelsCount">Legend!$Q$2</definedName>
    <definedName name="LG_RequiredSizesCount">Legend!$K$2</definedName>
    <definedName name="LG_SelectedModels">Legend!$O$2:$O$35</definedName>
    <definedName name="Pr_Sizes">'Products Pricing'!$F$1:$J$1</definedName>
    <definedName name="_xlnm.Print_Area" localSheetId="0">'PDF Layout'!$B$1:$J$71,'PDF Layout'!$B$101:$J$173,'PDF Layout'!$B$201:$J$273,'PDF Layout'!$B$301:$J$373,'PDF Layout'!$B$401:$J$473,'PDF Layout'!$B$501:$J$573</definedName>
    <definedName name="SingleLayoutCells">SingleLayout!$B$5:$J$14</definedName>
    <definedName name="SingleLayoutPic">SingleLayout!$G$42</definedName>
    <definedName name="SL_ItemRaw">SingleLayout!$B$2</definedName>
    <definedName name="SL_PutModelHere">SingleLayout!$B$1</definedName>
    <definedName name="Slicer_Gender">#N/A</definedName>
    <definedName name="Slicer_Product">#N/A</definedName>
    <definedName name="Slicer_Qty">#N/A</definedName>
    <definedName name="Slicer_sizing">#N/A</definedName>
  </definedNames>
  <calcPr calcId="152511"/>
  <pivotCaches>
    <pivotCache cacheId="0" r:id="rId8"/>
    <pivotCache cacheId="1" r:id="rId9"/>
    <pivotCache cacheId="2"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9" l="1"/>
  <c r="E2" i="24" l="1"/>
  <c r="E3" i="24"/>
  <c r="E4" i="24"/>
  <c r="E5" i="24"/>
  <c r="E6" i="24"/>
  <c r="E7" i="24"/>
  <c r="E8" i="24"/>
  <c r="E9" i="24"/>
  <c r="E10" i="24"/>
  <c r="E11" i="24"/>
  <c r="E12" i="24"/>
  <c r="E13" i="24"/>
  <c r="E14" i="24"/>
  <c r="E15" i="24"/>
  <c r="E16" i="24"/>
  <c r="E17" i="24"/>
  <c r="E18" i="24"/>
  <c r="E19" i="24"/>
  <c r="E20" i="24"/>
  <c r="E21" i="24"/>
  <c r="E22" i="24"/>
  <c r="E23" i="24"/>
  <c r="E24" i="24"/>
  <c r="E25" i="24"/>
  <c r="E26" i="24"/>
  <c r="E27" i="24"/>
  <c r="E28" i="24"/>
  <c r="E29" i="24"/>
  <c r="E30" i="24"/>
  <c r="E31" i="24"/>
  <c r="E32" i="24"/>
  <c r="E33" i="24"/>
  <c r="E34" i="24"/>
  <c r="E35" i="24"/>
  <c r="Q2" i="16" l="1"/>
  <c r="K2" i="16"/>
  <c r="B2" i="19"/>
  <c r="D7" i="19"/>
  <c r="I13" i="19" l="1"/>
  <c r="J10" i="19"/>
  <c r="H9" i="19"/>
  <c r="J6" i="19"/>
  <c r="J14" i="19" s="1"/>
  <c r="I6" i="19"/>
  <c r="I14" i="19" s="1"/>
  <c r="H6" i="19"/>
  <c r="H14" i="19" s="1"/>
  <c r="G6" i="19"/>
  <c r="G14" i="19" s="1"/>
  <c r="F6" i="19"/>
  <c r="F14" i="19" s="1"/>
  <c r="F8" i="19" l="1"/>
  <c r="H13" i="19"/>
  <c r="G7" i="19"/>
  <c r="G9" i="19"/>
  <c r="H12" i="19"/>
  <c r="G8" i="19"/>
  <c r="G13" i="19"/>
  <c r="I9" i="19"/>
  <c r="F9" i="19"/>
  <c r="G10" i="19"/>
  <c r="F10" i="19"/>
  <c r="I11" i="19"/>
  <c r="H10" i="19"/>
  <c r="J13" i="19"/>
  <c r="F7" i="19"/>
  <c r="F12" i="19"/>
  <c r="I12" i="19"/>
  <c r="H8" i="19"/>
  <c r="J11" i="19"/>
  <c r="H7" i="19"/>
  <c r="J8" i="19"/>
  <c r="G12" i="19"/>
  <c r="F13" i="19"/>
  <c r="F11" i="19"/>
  <c r="I10" i="19"/>
  <c r="I7" i="19"/>
  <c r="J9" i="19"/>
  <c r="H11" i="19"/>
  <c r="J12" i="19"/>
  <c r="I8" i="19"/>
  <c r="G11" i="19"/>
  <c r="J7" i="19"/>
  <c r="D8" i="19"/>
  <c r="D9" i="19"/>
  <c r="D10" i="19"/>
  <c r="D11" i="19"/>
  <c r="D12" i="19"/>
  <c r="D13" i="19"/>
  <c r="D14" i="19"/>
</calcChain>
</file>

<file path=xl/sharedStrings.xml><?xml version="1.0" encoding="utf-8"?>
<sst xmlns="http://schemas.openxmlformats.org/spreadsheetml/2006/main" count="296" uniqueCount="103">
  <si>
    <t>Product Code</t>
  </si>
  <si>
    <t>Rank</t>
  </si>
  <si>
    <t>Qty</t>
  </si>
  <si>
    <t>Row Labels</t>
  </si>
  <si>
    <t xml:space="preserve"> </t>
  </si>
  <si>
    <t>Quantity</t>
  </si>
  <si>
    <t>Code</t>
  </si>
  <si>
    <t>page start</t>
  </si>
  <si>
    <t>item start</t>
  </si>
  <si>
    <t>page end</t>
  </si>
  <si>
    <t>Models Count</t>
  </si>
  <si>
    <t>Required Sizes Count</t>
  </si>
  <si>
    <t>CURRENCY: USA</t>
  </si>
  <si>
    <t>Goodthreads Men's Short-Sleeve Crewneck Cotton T-Shirt</t>
  </si>
  <si>
    <t>Goodthreads Men's Slim-Fit Long-Sleeve Solid Oxford Shirt</t>
  </si>
  <si>
    <t>Goodthreads Mens Short-Sleeve Washed Pique Polo Shirt</t>
  </si>
  <si>
    <t>Goodthreads Men's French Terry Full-Zip Hoodie</t>
  </si>
  <si>
    <t>Next Level Apparel 6440 Mens Premium Fitted Sueded V-Neck Tee</t>
  </si>
  <si>
    <t>Goodthreads Men's Slim-Fit Long-Sleeve Buffalo Plaid Herringbone Shirt</t>
  </si>
  <si>
    <t>Goodthreads Men's French Terry Crewneck Sweatshirt</t>
  </si>
  <si>
    <t>Goodthreads Men’s Standard-Fit Plaid Oxford Shirt</t>
  </si>
  <si>
    <t>Amazon Essentials Men's Crewneck Fleece Sweatshirt</t>
  </si>
  <si>
    <t>Amazon Essentials Men's 2-Pack Regular-Fit Short-Sleeve Crewneck T-Shirts</t>
  </si>
  <si>
    <t>Next Level Men's Cvc V-Neck Tee</t>
  </si>
  <si>
    <t>JustOneStyle New 097 Womens Skin Tight Compression Baselayer T Shirt Running Black</t>
  </si>
  <si>
    <t>EGELEXY Women T-Shirt Short Sleeve I Make Mommy Moves O-Neck Female Pink T Shirt</t>
  </si>
  <si>
    <t>Awkward Styles Women's The Future is Female Feminist Graphic Off Shoulder Tops T Shirt Women's Rights</t>
  </si>
  <si>
    <t>Ann Arbor T-shirt Co. Boss Lady | Funny Bossy Alpha Female Glitter Glam Bling Ladies' V-Neck T-Shirt</t>
  </si>
  <si>
    <t>Dog Ready to Run - Vibrant Blue T - Women's Short Sleeve T-shirt</t>
  </si>
  <si>
    <t>Tstars Nurse Badss Lifesaver Funny Gift for Nurses V-Neck Women Fitted T-Shirt</t>
  </si>
  <si>
    <t>Zazzle Women's Basic T-Shirt, Female Compliance Officer Auditor Funny Nickname T-Shirt</t>
  </si>
  <si>
    <t>GRL PWR Girl Power Feminist Sassy Female Women Girl T-Shirt</t>
  </si>
  <si>
    <t>Decrum Black Flash T Shirt - Superhero T Shirt Womens</t>
  </si>
  <si>
    <t>Lapasa Women's Short Sleeve Sports T-Shirts Quick Dry Cotton Feel V-Neck Tee L26</t>
  </si>
  <si>
    <t>Hanes Women's Scoop-Neck Tank Top</t>
  </si>
  <si>
    <t>Goodthreads Men's Slim-Fit Washed Chino Pant</t>
  </si>
  <si>
    <t>Wood Paper Company Men's Regular Fit Drawstring Waist Cotton Chino Pant</t>
  </si>
  <si>
    <t>Amazon Essentials Men's Classic-Fit Wrinkle-Resistant Pleated Chino Pant</t>
  </si>
  <si>
    <t>Lee Uniforms Men's Skinny Stretch 5 Pocket Pant</t>
  </si>
  <si>
    <t>Pau1Hami1ton PH-20 Men's Active Basic Casual Cotton Stretch Sweatpant Workout Gym Running Performance Track Pants</t>
  </si>
  <si>
    <t>Mountain Khakis The Original Mountain Pant</t>
  </si>
  <si>
    <t>Isle Bay Linens Men's Lyocell Suit Pant</t>
  </si>
  <si>
    <t>Speedle Faux Leather PU Denim Pants For Women Sexy Stretchy Leggings Slim Fit Trousers</t>
  </si>
  <si>
    <t>Always Women Super Soft Peach Skin Stretch Printed Leggings</t>
  </si>
  <si>
    <t>Everbellus Womens Mesh Faux Leather Leggings Sexy Skinny Pants</t>
  </si>
  <si>
    <t>Baleaf Women's Ankle Legging Inner Pocket Non See-Through Fabric</t>
  </si>
  <si>
    <t>Poetic Justice Women's Curvy Fit Black Vegan Leather Stretch Rayon Ponte Trouser Pant</t>
  </si>
  <si>
    <t>Pic</t>
  </si>
  <si>
    <t>sizing</t>
  </si>
  <si>
    <t>Small</t>
  </si>
  <si>
    <t>Medium</t>
  </si>
  <si>
    <t>Large</t>
  </si>
  <si>
    <t>X-Large</t>
  </si>
  <si>
    <t>XX-Large</t>
  </si>
  <si>
    <t>Name</t>
  </si>
  <si>
    <t>X-01</t>
  </si>
  <si>
    <t>Gender</t>
  </si>
  <si>
    <t>Male</t>
  </si>
  <si>
    <t>Product</t>
  </si>
  <si>
    <t>Tshirt</t>
  </si>
  <si>
    <t>Female</t>
  </si>
  <si>
    <t>Pants</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</si>
  <si>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</si>
  <si>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</si>
  <si>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</si>
  <si>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</si>
  <si>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</si>
  <si>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</si>
  <si>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</si>
  <si>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</si>
  <si>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</si>
  <si>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</si>
  <si>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</si>
  <si>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</si>
  <si>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</si>
  <si>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</si>
  <si>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</si>
  <si>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</si>
  <si>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</si>
  <si>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</si>
  <si>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</si>
  <si>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</si>
  <si>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</si>
  <si>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</si>
  <si>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</si>
  <si>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</si>
  <si>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</si>
  <si>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</si>
  <si>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</si>
  <si>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</si>
  <si>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</si>
  <si>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</si>
  <si>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</si>
  <si>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</si>
  <si>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</si>
  <si>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01 - Small</t>
  </si>
  <si>
    <t>02 - Medium</t>
  </si>
  <si>
    <t>03 - Large</t>
  </si>
  <si>
    <t>04 - X-Large</t>
  </si>
  <si>
    <t>05 - XX-Large</t>
  </si>
  <si>
    <t>Product Row</t>
  </si>
  <si>
    <t>X</t>
  </si>
  <si>
    <t>New Percent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</si>
</sst>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7" formatCode="&quot;$&quot;#,##0.00_);\(&quot;$&quot;#,##0.00\)"/>
    <numFmt numFmtId="44" formatCode="_(&quot;$&quot;* #,##0.00_);_(&quot;$&quot;* \(#,##0.00\);_(&quot;$&quot;* &quot;-&quot;??_);_(@_)"/>
    <numFmt numFmtId="164" formatCode="_ &quot;￥&quot;* #,##0.00_ ;_ &quot;￥&quot;* \-#,##0.00_ ;_ &quot;￥&quot;* &quot;-&quot;??_ ;_ @_ "/>
    <numFmt numFmtId="165" formatCode="&quot;$&quot;#,##0.00"/>
    <numFmt numFmtId="166" formatCode="[$-409]d\-mmm\-yyyy;@"/>
    <numFmt numFmtId="167" formatCode="[$-409]dd\ mmmm\ yyyy;@"/>
  </numFmts>
  <fonts count="19">
    <font>
      <sz val="11"/>
      <color theme="1"/>
      <name val="Calibri"/>
      <family val="2"/>
      <scheme val="minor"/>
    </font>
    <font>
      <b/>
      <sz val="11"/>
      <color theme="1"/>
      <name val="Calibri"/>
      <family val="2"/>
      <scheme val="minor"/>
    </font>
    <font>
      <sz val="11"/>
      <color indexed="8"/>
      <name val="宋体"/>
      <charset val="134"/>
    </font>
    <font>
      <sz val="11"/>
      <color theme="1"/>
      <name val="Calibri"/>
      <family val="2"/>
      <scheme val="minor"/>
    </font>
    <font>
      <b/>
      <sz val="36"/>
      <color theme="1"/>
      <name val="Calibri"/>
      <family val="2"/>
      <scheme val="minor"/>
    </font>
    <font>
      <b/>
      <sz val="28"/>
      <color theme="1"/>
      <name val="Calibri"/>
      <family val="2"/>
      <scheme val="minor"/>
    </font>
    <font>
      <b/>
      <sz val="12"/>
      <color theme="1"/>
      <name val="Calibri"/>
      <family val="2"/>
      <scheme val="minor"/>
    </font>
    <font>
      <sz val="9"/>
      <color theme="1"/>
      <name val="Calibri"/>
      <family val="2"/>
      <scheme val="minor"/>
    </font>
    <font>
      <sz val="6"/>
      <color theme="1"/>
      <name val="Calibri"/>
      <family val="2"/>
      <scheme val="minor"/>
    </font>
    <font>
      <b/>
      <sz val="6"/>
      <color theme="1"/>
      <name val="Calibri"/>
      <family val="2"/>
      <scheme val="minor"/>
    </font>
    <font>
      <b/>
      <sz val="8"/>
      <color theme="1"/>
      <name val="Calibri"/>
      <family val="2"/>
      <scheme val="minor"/>
    </font>
    <font>
      <b/>
      <sz val="9"/>
      <color theme="1"/>
      <name val="Calibri"/>
      <family val="2"/>
      <scheme val="minor"/>
    </font>
    <font>
      <sz val="11"/>
      <color theme="1"/>
      <name val="Calibri"/>
      <family val="2"/>
    </font>
    <font>
      <sz val="11"/>
      <color theme="1"/>
      <name val="Arial"/>
      <family val="2"/>
    </font>
    <font>
      <b/>
      <sz val="8"/>
      <color theme="1"/>
      <name val="Arial"/>
      <family val="2"/>
    </font>
    <font>
      <b/>
      <sz val="6"/>
      <color theme="1"/>
      <name val="Arial"/>
      <family val="2"/>
    </font>
    <font>
      <sz val="6"/>
      <color theme="1"/>
      <name val="Arial"/>
      <family val="2"/>
    </font>
    <font>
      <b/>
      <sz val="11"/>
      <color theme="1"/>
      <name val="Calibri"/>
      <scheme val="minor"/>
    </font>
    <font>
      <b/>
      <sz val="72"/>
      <color theme="1"/>
      <name val="Cairo"/>
    </font>
  </fonts>
  <fills count="4">
    <fill>
      <patternFill patternType="none"/>
    </fill>
    <fill>
      <patternFill patternType="gray125"/>
    </fill>
    <fill>
      <patternFill patternType="solid">
        <fgColor theme="0" tint="-0.14999847407452621"/>
        <bgColor indexed="64"/>
      </patternFill>
    </fill>
    <fill>
      <patternFill patternType="solid">
        <fgColor theme="0"/>
        <bgColor indexed="64"/>
      </patternFill>
    </fill>
  </fills>
  <borders count="2">
    <border>
      <left/>
      <right/>
      <top/>
      <bottom/>
      <diagonal/>
    </border>
    <border>
      <left style="thin">
        <color indexed="64"/>
      </left>
      <right/>
      <top/>
      <bottom/>
      <diagonal/>
    </border>
  </borders>
  <cellStyleXfs count="4">
    <xf numFmtId="0" fontId="0" fillId="0" borderId="0"/>
    <xf numFmtId="0" fontId="2" fillId="0" borderId="0">
      <alignment vertical="center"/>
    </xf>
    <xf numFmtId="164" fontId="2" fillId="0" borderId="0" applyFont="0" applyFill="0" applyBorder="0" applyAlignment="0" applyProtection="0">
      <alignment vertical="center"/>
    </xf>
    <xf numFmtId="44" fontId="3" fillId="0" borderId="0" applyFont="0" applyFill="0" applyBorder="0" applyAlignment="0" applyProtection="0"/>
  </cellStyleXfs>
  <cellXfs count="50">
    <xf numFmtId="0" fontId="0" fillId="0" borderId="0" xfId="0"/>
    <xf numFmtId="0" fontId="1" fillId="0" borderId="1" xfId="0" applyFont="1" applyBorder="1" applyAlignment="1">
      <alignment vertical="center"/>
    </xf>
    <xf numFmtId="0" fontId="1" fillId="0" borderId="1" xfId="0" applyFont="1" applyFill="1" applyBorder="1" applyAlignment="1">
      <alignment vertical="center"/>
    </xf>
    <xf numFmtId="0" fontId="0" fillId="0" borderId="0" xfId="0" applyFill="1"/>
    <xf numFmtId="0" fontId="0" fillId="0" borderId="0" xfId="0" applyAlignment="1">
      <alignment horizontal="right"/>
    </xf>
    <xf numFmtId="0" fontId="1" fillId="0" borderId="0" xfId="0" applyFont="1" applyFill="1" applyBorder="1" applyAlignment="1">
      <alignment vertical="center"/>
    </xf>
    <xf numFmtId="0" fontId="4" fillId="2" borderId="0" xfId="0" applyFont="1" applyFill="1" applyAlignment="1">
      <alignment vertical="center"/>
    </xf>
    <xf numFmtId="0" fontId="0" fillId="2" borderId="0" xfId="0" applyFill="1"/>
    <xf numFmtId="0" fontId="0" fillId="0" borderId="0" xfId="0" pivotButton="1"/>
    <xf numFmtId="0" fontId="0" fillId="0" borderId="0" xfId="0" applyAlignment="1">
      <alignment horizontal="center" vertical="center"/>
    </xf>
    <xf numFmtId="165" fontId="0" fillId="0" borderId="0" xfId="3" applyNumberFormat="1" applyFont="1" applyAlignment="1">
      <alignment horizontal="center" vertical="center"/>
    </xf>
    <xf numFmtId="0" fontId="0" fillId="0" borderId="0" xfId="0"/>
    <xf numFmtId="0" fontId="0" fillId="0" borderId="0" xfId="0" applyAlignment="1">
      <alignment horizontal="left"/>
    </xf>
    <xf numFmtId="0" fontId="5" fillId="2" borderId="0" xfId="0" applyFont="1" applyFill="1" applyAlignment="1">
      <alignment vertical="center"/>
    </xf>
    <xf numFmtId="0" fontId="6" fillId="2" borderId="0" xfId="0" applyFont="1" applyFill="1" applyAlignment="1">
      <alignment vertical="top"/>
    </xf>
    <xf numFmtId="0" fontId="7" fillId="0" borderId="0" xfId="0" applyFont="1"/>
    <xf numFmtId="0" fontId="9" fillId="0" borderId="0" xfId="0" applyFont="1" applyAlignment="1">
      <alignment horizontal="center" vertical="center"/>
    </xf>
    <xf numFmtId="165" fontId="8" fillId="0" borderId="0" xfId="3" applyNumberFormat="1" applyFont="1" applyAlignment="1">
      <alignment horizontal="center" vertical="center"/>
    </xf>
    <xf numFmtId="0" fontId="10" fillId="0" borderId="0" xfId="0" applyFont="1" applyAlignment="1">
      <alignment vertical="center"/>
    </xf>
    <xf numFmtId="0" fontId="0" fillId="0" borderId="0" xfId="0" applyAlignment="1">
      <alignment horizontal="left" vertical="center"/>
    </xf>
    <xf numFmtId="0" fontId="0" fillId="0" borderId="0" xfId="0" applyFill="1" applyAlignment="1">
      <alignment horizontal="left" vertical="center"/>
    </xf>
    <xf numFmtId="0" fontId="6" fillId="0" borderId="0" xfId="0" applyFont="1" applyAlignment="1">
      <alignment horizontal="right" vertical="center"/>
    </xf>
    <xf numFmtId="0" fontId="12" fillId="0" borderId="0" xfId="0" applyFont="1" applyFill="1"/>
    <xf numFmtId="0" fontId="13" fillId="0" borderId="0" xfId="0" applyFont="1"/>
    <xf numFmtId="0" fontId="13" fillId="0" borderId="0" xfId="0" applyFont="1" applyAlignment="1">
      <alignment horizontal="left" vertical="center"/>
    </xf>
    <xf numFmtId="0" fontId="14" fillId="0" borderId="0" xfId="0" applyFont="1" applyAlignment="1">
      <alignment vertical="center"/>
    </xf>
    <xf numFmtId="0" fontId="15" fillId="0" borderId="0" xfId="0" applyFont="1" applyAlignment="1">
      <alignment horizontal="left" vertical="center"/>
    </xf>
    <xf numFmtId="0" fontId="16" fillId="0" borderId="0" xfId="0" applyFont="1"/>
    <xf numFmtId="0" fontId="15" fillId="0" borderId="0" xfId="0" applyFont="1" applyAlignment="1">
      <alignment vertical="center"/>
    </xf>
    <xf numFmtId="0" fontId="7" fillId="0" borderId="0" xfId="0" applyFont="1" applyAlignment="1">
      <alignment horizontal="right"/>
    </xf>
    <xf numFmtId="0" fontId="7" fillId="2" borderId="0" xfId="0" applyFont="1" applyFill="1"/>
    <xf numFmtId="0" fontId="1" fillId="2" borderId="0" xfId="0" applyFont="1" applyFill="1" applyAlignment="1">
      <alignment horizontal="right" vertical="center"/>
    </xf>
    <xf numFmtId="166" fontId="0" fillId="0" borderId="0" xfId="0" applyNumberFormat="1" applyFill="1"/>
    <xf numFmtId="0" fontId="15" fillId="0" borderId="0" xfId="0" applyFont="1" applyAlignment="1">
      <alignment horizontal="right" vertical="center"/>
    </xf>
    <xf numFmtId="165" fontId="16" fillId="0" borderId="0" xfId="3" applyNumberFormat="1" applyFont="1" applyAlignment="1">
      <alignment horizontal="right" vertical="center"/>
    </xf>
    <xf numFmtId="0" fontId="13" fillId="0" borderId="0" xfId="0" applyFont="1" applyAlignment="1">
      <alignment horizontal="right"/>
    </xf>
    <xf numFmtId="0" fontId="0" fillId="3" borderId="0" xfId="0" applyFill="1" applyBorder="1"/>
    <xf numFmtId="0" fontId="0" fillId="0" borderId="0" xfId="0" applyAlignment="1">
      <alignment horizontal="left"/>
    </xf>
    <xf numFmtId="0" fontId="0" fillId="3" borderId="0" xfId="0" applyFill="1"/>
    <xf numFmtId="0" fontId="17" fillId="0" borderId="1" xfId="0" applyFont="1" applyFill="1" applyBorder="1" applyAlignment="1">
      <alignment vertical="center"/>
    </xf>
    <xf numFmtId="0" fontId="7" fillId="0" borderId="0" xfId="0" applyFont="1" applyFill="1"/>
    <xf numFmtId="0" fontId="7" fillId="0" borderId="0" xfId="0" applyFont="1" applyFill="1" applyAlignment="1"/>
    <xf numFmtId="0" fontId="1" fillId="0" borderId="0" xfId="0" applyFont="1" applyFill="1" applyAlignment="1">
      <alignment horizontal="right" vertical="center"/>
    </xf>
    <xf numFmtId="7" fontId="16" fillId="0" borderId="0" xfId="0" applyNumberFormat="1" applyFont="1"/>
    <xf numFmtId="7" fontId="13" fillId="0" borderId="0" xfId="0" applyNumberFormat="1" applyFont="1" applyAlignment="1">
      <alignment horizontal="right"/>
    </xf>
    <xf numFmtId="0" fontId="7" fillId="0" borderId="0" xfId="0" applyFont="1" applyFill="1" applyAlignment="1">
      <alignment horizontal="left" vertical="center"/>
    </xf>
    <xf numFmtId="0" fontId="7" fillId="0" borderId="0" xfId="0" applyFont="1" applyFill="1" applyAlignment="1">
      <alignment horizontal="left"/>
    </xf>
    <xf numFmtId="167" fontId="11" fillId="0" borderId="0" xfId="0" applyNumberFormat="1" applyFont="1" applyFill="1" applyAlignment="1">
      <alignment horizontal="left"/>
    </xf>
    <xf numFmtId="0" fontId="18" fillId="2" borderId="0" xfId="0" applyFont="1" applyFill="1" applyAlignment="1">
      <alignment horizontal="left" vertical="center"/>
    </xf>
    <xf numFmtId="0" fontId="6" fillId="2" borderId="0" xfId="0" applyFont="1" applyFill="1" applyAlignment="1">
      <alignment horizontal="center" vertical="top"/>
    </xf>
  </cellXfs>
  <cellStyles count="4">
    <cellStyle name="Currency" xfId="3" builtinId="4"/>
    <cellStyle name="Currency 2" xfId="2"/>
    <cellStyle name="Normal" xfId="0" builtinId="0"/>
    <cellStyle name="Normal 2" xfId="1"/>
  </cellStyles>
  <dxfs count="4">
    <dxf>
      <font>
        <b/>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top/>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top/>
        <bottom/>
        <vertical/>
        <horizontal/>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s>
  <tableStyles count="0" defaultTableStyle="TableStyleMedium2" defaultPivotStyle="PivotStyleLight16"/>
  <colors>
    <mruColors>
      <color rgb="FF20724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3.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chromiumdata.com"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chromiumdata.com" TargetMode="External"/><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3" Type="http://schemas.openxmlformats.org/officeDocument/2006/relationships/image" Target="../media/image15.jpeg"/><Relationship Id="rId18" Type="http://schemas.openxmlformats.org/officeDocument/2006/relationships/image" Target="../media/image20.jpeg"/><Relationship Id="rId26" Type="http://schemas.openxmlformats.org/officeDocument/2006/relationships/image" Target="../media/image28.jpeg"/><Relationship Id="rId3" Type="http://schemas.openxmlformats.org/officeDocument/2006/relationships/image" Target="../media/image5.jpeg"/><Relationship Id="rId21" Type="http://schemas.openxmlformats.org/officeDocument/2006/relationships/image" Target="../media/image23.jpeg"/><Relationship Id="rId34" Type="http://schemas.openxmlformats.org/officeDocument/2006/relationships/image" Target="../media/image36.jpeg"/><Relationship Id="rId7" Type="http://schemas.openxmlformats.org/officeDocument/2006/relationships/image" Target="../media/image9.jpeg"/><Relationship Id="rId12" Type="http://schemas.openxmlformats.org/officeDocument/2006/relationships/image" Target="../media/image14.jpeg"/><Relationship Id="rId17" Type="http://schemas.openxmlformats.org/officeDocument/2006/relationships/image" Target="../media/image19.jpeg"/><Relationship Id="rId25" Type="http://schemas.openxmlformats.org/officeDocument/2006/relationships/image" Target="../media/image27.jpeg"/><Relationship Id="rId33" Type="http://schemas.openxmlformats.org/officeDocument/2006/relationships/image" Target="../media/image35.jpeg"/><Relationship Id="rId2" Type="http://schemas.openxmlformats.org/officeDocument/2006/relationships/image" Target="../media/image4.jpeg"/><Relationship Id="rId16" Type="http://schemas.openxmlformats.org/officeDocument/2006/relationships/image" Target="../media/image18.jpeg"/><Relationship Id="rId20" Type="http://schemas.openxmlformats.org/officeDocument/2006/relationships/image" Target="../media/image22.jpeg"/><Relationship Id="rId29" Type="http://schemas.openxmlformats.org/officeDocument/2006/relationships/image" Target="../media/image31.jpeg"/><Relationship Id="rId1" Type="http://schemas.openxmlformats.org/officeDocument/2006/relationships/image" Target="../media/image3.jpeg"/><Relationship Id="rId6" Type="http://schemas.openxmlformats.org/officeDocument/2006/relationships/image" Target="../media/image8.jpeg"/><Relationship Id="rId11" Type="http://schemas.openxmlformats.org/officeDocument/2006/relationships/image" Target="../media/image13.jpeg"/><Relationship Id="rId24" Type="http://schemas.openxmlformats.org/officeDocument/2006/relationships/image" Target="../media/image26.jpeg"/><Relationship Id="rId32" Type="http://schemas.openxmlformats.org/officeDocument/2006/relationships/image" Target="../media/image34.jpeg"/><Relationship Id="rId5" Type="http://schemas.openxmlformats.org/officeDocument/2006/relationships/image" Target="../media/image7.jpeg"/><Relationship Id="rId15" Type="http://schemas.openxmlformats.org/officeDocument/2006/relationships/image" Target="../media/image17.jpeg"/><Relationship Id="rId23" Type="http://schemas.openxmlformats.org/officeDocument/2006/relationships/image" Target="../media/image25.jpeg"/><Relationship Id="rId28" Type="http://schemas.openxmlformats.org/officeDocument/2006/relationships/image" Target="../media/image30.jpeg"/><Relationship Id="rId10" Type="http://schemas.openxmlformats.org/officeDocument/2006/relationships/image" Target="../media/image12.jpeg"/><Relationship Id="rId19" Type="http://schemas.openxmlformats.org/officeDocument/2006/relationships/image" Target="../media/image21.jpeg"/><Relationship Id="rId31" Type="http://schemas.openxmlformats.org/officeDocument/2006/relationships/image" Target="../media/image33.jpeg"/><Relationship Id="rId4" Type="http://schemas.openxmlformats.org/officeDocument/2006/relationships/image" Target="../media/image6.jpeg"/><Relationship Id="rId9" Type="http://schemas.openxmlformats.org/officeDocument/2006/relationships/image" Target="../media/image11.jpeg"/><Relationship Id="rId14" Type="http://schemas.openxmlformats.org/officeDocument/2006/relationships/image" Target="../media/image16.jpeg"/><Relationship Id="rId22" Type="http://schemas.openxmlformats.org/officeDocument/2006/relationships/image" Target="../media/image24.jpeg"/><Relationship Id="rId27" Type="http://schemas.openxmlformats.org/officeDocument/2006/relationships/image" Target="../media/image29.jpeg"/><Relationship Id="rId30" Type="http://schemas.openxmlformats.org/officeDocument/2006/relationships/image" Target="../media/image32.jpeg"/><Relationship Id="rId8"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xdr:from>
      <xdr:col>1</xdr:col>
      <xdr:colOff>609600</xdr:colOff>
      <xdr:row>1</xdr:row>
      <xdr:rowOff>0</xdr:rowOff>
    </xdr:from>
    <xdr:to>
      <xdr:col>8</xdr:col>
      <xdr:colOff>742950</xdr:colOff>
      <xdr:row>7</xdr:row>
      <xdr:rowOff>137160</xdr:rowOff>
    </xdr:to>
    <xdr:grpSp>
      <xdr:nvGrpSpPr>
        <xdr:cNvPr id="127" name="ChromiumData">
          <a:hlinkClick xmlns:r="http://schemas.openxmlformats.org/officeDocument/2006/relationships" r:id="rId1"/>
        </xdr:cNvPr>
        <xdr:cNvGrpSpPr/>
      </xdr:nvGrpSpPr>
      <xdr:grpSpPr>
        <a:xfrm>
          <a:off x="922020" y="146304"/>
          <a:ext cx="5088636" cy="1011174"/>
          <a:chOff x="1000125" y="91440"/>
          <a:chExt cx="4743450" cy="1051560"/>
        </a:xfrm>
      </xdr:grpSpPr>
      <xdr:pic>
        <xdr:nvPicPr>
          <xdr:cNvPr id="128" name="Picture 127">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00125" y="95381"/>
            <a:ext cx="1047619" cy="1047619"/>
          </a:xfrm>
          <a:prstGeom prst="rect">
            <a:avLst/>
          </a:prstGeom>
        </xdr:spPr>
      </xdr:pic>
      <xdr:sp macro="" textlink="">
        <xdr:nvSpPr>
          <xdr:cNvPr id="129" name="Rectangle 128">
            <a:hlinkClick xmlns:r="http://schemas.openxmlformats.org/officeDocument/2006/relationships" r:id="rId1"/>
          </xdr:cNvPr>
          <xdr:cNvSpPr/>
        </xdr:nvSpPr>
        <xdr:spPr>
          <a:xfrm>
            <a:off x="2057400" y="91440"/>
            <a:ext cx="3686175" cy="10515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4000" b="1">
                <a:solidFill>
                  <a:srgbClr val="207245"/>
                </a:solidFill>
                <a:latin typeface="Cairo" panose="00000800000000000000" pitchFamily="2" charset="-78"/>
                <a:cs typeface="Cairo" panose="00000800000000000000" pitchFamily="2" charset="-78"/>
              </a:rPr>
              <a:t>Chromium Data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27</xdr:row>
      <xdr:rowOff>47625</xdr:rowOff>
    </xdr:from>
    <xdr:to>
      <xdr:col>12</xdr:col>
      <xdr:colOff>247650</xdr:colOff>
      <xdr:row>31</xdr:row>
      <xdr:rowOff>0</xdr:rowOff>
    </xdr:to>
    <xdr:grpSp>
      <xdr:nvGrpSpPr>
        <xdr:cNvPr id="3" name="Group 2"/>
        <xdr:cNvGrpSpPr/>
      </xdr:nvGrpSpPr>
      <xdr:grpSpPr>
        <a:xfrm>
          <a:off x="3657600" y="5191125"/>
          <a:ext cx="3905250" cy="714375"/>
          <a:chOff x="7740541" y="6457950"/>
          <a:chExt cx="3914446" cy="714375"/>
        </a:xfrm>
      </xdr:grpSpPr>
      <xdr:sp macro="[0]!PressOnGeneratePdf" textlink="">
        <xdr:nvSpPr>
          <xdr:cNvPr id="4" name="Rounded Rectangle 3"/>
          <xdr:cNvSpPr/>
        </xdr:nvSpPr>
        <xdr:spPr>
          <a:xfrm>
            <a:off x="7740541" y="6457950"/>
            <a:ext cx="3914446" cy="714375"/>
          </a:xfrm>
          <a:prstGeom prst="roundRect">
            <a:avLst/>
          </a:prstGeom>
          <a:solidFill>
            <a:srgbClr val="626367"/>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bg1"/>
                </a:solidFill>
              </a:rPr>
              <a:t>Generate PDF</a:t>
            </a:r>
          </a:p>
        </xdr:txBody>
      </xdr:sp>
      <xdr:pic macro="[0]!PressOnGeneratePdf">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73891" y="6491287"/>
            <a:ext cx="649013" cy="647700"/>
          </a:xfrm>
          <a:prstGeom prst="rect">
            <a:avLst/>
          </a:prstGeom>
        </xdr:spPr>
      </xdr:pic>
    </xdr:grpSp>
    <xdr:clientData/>
  </xdr:twoCellAnchor>
  <xdr:twoCellAnchor editAs="oneCell">
    <xdr:from>
      <xdr:col>1</xdr:col>
      <xdr:colOff>0</xdr:colOff>
      <xdr:row>7</xdr:row>
      <xdr:rowOff>190499</xdr:rowOff>
    </xdr:from>
    <xdr:to>
      <xdr:col>18</xdr:col>
      <xdr:colOff>0</xdr:colOff>
      <xdr:row>12</xdr:row>
      <xdr:rowOff>180974</xdr:rowOff>
    </xdr:to>
    <mc:AlternateContent xmlns:mc="http://schemas.openxmlformats.org/markup-compatibility/2006" xmlns:a14="http://schemas.microsoft.com/office/drawing/2010/main">
      <mc:Choice Requires="a14">
        <xdr:graphicFrame macro="">
          <xdr:nvGraphicFramePr>
            <xdr:cNvPr id="6" name="Qty"/>
            <xdr:cNvGraphicFramePr>
              <a:graphicFrameLocks/>
            </xdr:cNvGraphicFramePr>
          </xdr:nvGraphicFramePr>
          <xdr:xfrm>
            <a:off x="0" y="0"/>
            <a:ext cx="0" cy="0"/>
          </xdr:xfrm>
          <a:graphic>
            <a:graphicData uri="http://schemas.microsoft.com/office/drawing/2010/slicer">
              <sle:slicer xmlns:sle="http://schemas.microsoft.com/office/drawing/2010/slicer" name="Qty"/>
            </a:graphicData>
          </a:graphic>
        </xdr:graphicFrame>
      </mc:Choice>
      <mc:Fallback xmlns="">
        <xdr:sp macro="" textlink="">
          <xdr:nvSpPr>
            <xdr:cNvPr id="0" name=""/>
            <xdr:cNvSpPr>
              <a:spLocks noTextEdit="1"/>
            </xdr:cNvSpPr>
          </xdr:nvSpPr>
          <xdr:spPr>
            <a:xfrm>
              <a:off x="609600" y="1524000"/>
              <a:ext cx="10229850" cy="704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0</xdr:colOff>
      <xdr:row>20</xdr:row>
      <xdr:rowOff>1</xdr:rowOff>
    </xdr:from>
    <xdr:to>
      <xdr:col>9</xdr:col>
      <xdr:colOff>0</xdr:colOff>
      <xdr:row>25</xdr:row>
      <xdr:rowOff>1</xdr:rowOff>
    </xdr:to>
    <mc:AlternateContent xmlns:mc="http://schemas.openxmlformats.org/markup-compatibility/2006" xmlns:a14="http://schemas.microsoft.com/office/drawing/2010/main">
      <mc:Choice Requires="a14">
        <xdr:graphicFrame macro="">
          <xdr:nvGraphicFramePr>
            <xdr:cNvPr id="9" name="Gende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09600" y="3810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3048</xdr:colOff>
      <xdr:row>20</xdr:row>
      <xdr:rowOff>0</xdr:rowOff>
    </xdr:from>
    <xdr:to>
      <xdr:col>18</xdr:col>
      <xdr:colOff>0</xdr:colOff>
      <xdr:row>25</xdr:row>
      <xdr:rowOff>0</xdr:rowOff>
    </xdr:to>
    <mc:AlternateContent xmlns:mc="http://schemas.openxmlformats.org/markup-compatibility/2006" xmlns:a14="http://schemas.microsoft.com/office/drawing/2010/main">
      <mc:Choice Requires="a14">
        <xdr:graphicFrame macro="">
          <xdr:nvGraphicFramePr>
            <xdr:cNvPr id="10"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6099048" y="3810000"/>
              <a:ext cx="4873752"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13</xdr:row>
      <xdr:rowOff>142875</xdr:rowOff>
    </xdr:from>
    <xdr:to>
      <xdr:col>18</xdr:col>
      <xdr:colOff>0</xdr:colOff>
      <xdr:row>19</xdr:row>
      <xdr:rowOff>0</xdr:rowOff>
    </xdr:to>
    <mc:AlternateContent xmlns:mc="http://schemas.openxmlformats.org/markup-compatibility/2006" xmlns:a14="http://schemas.microsoft.com/office/drawing/2010/main">
      <mc:Choice Requires="a14">
        <xdr:graphicFrame macro="">
          <xdr:nvGraphicFramePr>
            <xdr:cNvPr id="12" name="sizing"/>
            <xdr:cNvGraphicFramePr/>
          </xdr:nvGraphicFramePr>
          <xdr:xfrm>
            <a:off x="0" y="0"/>
            <a:ext cx="0" cy="0"/>
          </xdr:xfrm>
          <a:graphic>
            <a:graphicData uri="http://schemas.microsoft.com/office/drawing/2010/slicer">
              <sle:slicer xmlns:sle="http://schemas.microsoft.com/office/drawing/2010/slicer" name="sizing"/>
            </a:graphicData>
          </a:graphic>
        </xdr:graphicFrame>
      </mc:Choice>
      <mc:Fallback xmlns="">
        <xdr:sp macro="" textlink="">
          <xdr:nvSpPr>
            <xdr:cNvPr id="0" name=""/>
            <xdr:cNvSpPr>
              <a:spLocks noTextEdit="1"/>
            </xdr:cNvSpPr>
          </xdr:nvSpPr>
          <xdr:spPr>
            <a:xfrm>
              <a:off x="609600" y="2619375"/>
              <a:ext cx="10363200" cy="1000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390525</xdr:colOff>
      <xdr:row>0</xdr:row>
      <xdr:rowOff>91440</xdr:rowOff>
    </xdr:from>
    <xdr:to>
      <xdr:col>9</xdr:col>
      <xdr:colOff>257175</xdr:colOff>
      <xdr:row>6</xdr:row>
      <xdr:rowOff>0</xdr:rowOff>
    </xdr:to>
    <xdr:grpSp>
      <xdr:nvGrpSpPr>
        <xdr:cNvPr id="13" name="Group 12">
          <a:hlinkClick xmlns:r="http://schemas.openxmlformats.org/officeDocument/2006/relationships" r:id="rId2"/>
        </xdr:cNvPr>
        <xdr:cNvGrpSpPr/>
      </xdr:nvGrpSpPr>
      <xdr:grpSpPr>
        <a:xfrm>
          <a:off x="1000125" y="91440"/>
          <a:ext cx="4743450" cy="1051560"/>
          <a:chOff x="1000125" y="91440"/>
          <a:chExt cx="4743450" cy="1051560"/>
        </a:xfrm>
      </xdr:grpSpPr>
      <xdr:pic>
        <xdr:nvPicPr>
          <xdr:cNvPr id="7" name="Picture 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00125" y="95381"/>
            <a:ext cx="1047619" cy="1047619"/>
          </a:xfrm>
          <a:prstGeom prst="rect">
            <a:avLst/>
          </a:prstGeom>
        </xdr:spPr>
      </xdr:pic>
      <xdr:sp macro="" textlink="">
        <xdr:nvSpPr>
          <xdr:cNvPr id="8" name="Rectangle 7"/>
          <xdr:cNvSpPr/>
        </xdr:nvSpPr>
        <xdr:spPr>
          <a:xfrm>
            <a:off x="2057400" y="91440"/>
            <a:ext cx="3686175" cy="10515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4000" b="1">
                <a:solidFill>
                  <a:srgbClr val="207245"/>
                </a:solidFill>
                <a:latin typeface="Cairo" panose="00000800000000000000" pitchFamily="2" charset="-78"/>
                <a:cs typeface="Cairo" panose="00000800000000000000" pitchFamily="2" charset="-78"/>
              </a:rPr>
              <a:t>Chromium Data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2028825</xdr:colOff>
      <xdr:row>1</xdr:row>
      <xdr:rowOff>2543175</xdr:rowOff>
    </xdr:to>
    <xdr:pic>
      <xdr:nvPicPr>
        <xdr:cNvPr id="2" name="Picture 1" descr="Goodthreads Men's Slim-Fit Long-Sleeve Solid Oxford Shir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xdr:row>
      <xdr:rowOff>0</xdr:rowOff>
    </xdr:from>
    <xdr:to>
      <xdr:col>0</xdr:col>
      <xdr:colOff>2028825</xdr:colOff>
      <xdr:row>2</xdr:row>
      <xdr:rowOff>2543175</xdr:rowOff>
    </xdr:to>
    <xdr:pic>
      <xdr:nvPicPr>
        <xdr:cNvPr id="3" name="Picture 2" descr="Goodthreads Men's Short-Sleeve Crewneck Cotton T-Shir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6222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xdr:row>
      <xdr:rowOff>0</xdr:rowOff>
    </xdr:from>
    <xdr:to>
      <xdr:col>0</xdr:col>
      <xdr:colOff>2028825</xdr:colOff>
      <xdr:row>3</xdr:row>
      <xdr:rowOff>2543175</xdr:rowOff>
    </xdr:to>
    <xdr:pic>
      <xdr:nvPicPr>
        <xdr:cNvPr id="4" name="Picture 3" descr="Goodthreads Mens Short-Sleeve Washed Pique Polo Shir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512445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0</xdr:rowOff>
    </xdr:from>
    <xdr:to>
      <xdr:col>0</xdr:col>
      <xdr:colOff>2028825</xdr:colOff>
      <xdr:row>4</xdr:row>
      <xdr:rowOff>2543175</xdr:rowOff>
    </xdr:to>
    <xdr:pic>
      <xdr:nvPicPr>
        <xdr:cNvPr id="5" name="Picture 4" descr="Goodthreads Men's French Terry Full-Zip Hoodi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768667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xdr:row>
      <xdr:rowOff>0</xdr:rowOff>
    </xdr:from>
    <xdr:to>
      <xdr:col>0</xdr:col>
      <xdr:colOff>1828800</xdr:colOff>
      <xdr:row>5</xdr:row>
      <xdr:rowOff>2543175</xdr:rowOff>
    </xdr:to>
    <xdr:pic>
      <xdr:nvPicPr>
        <xdr:cNvPr id="6" name="Picture 5" descr="Next Level Apparel 6440 Mens Premium Fitted Sueded V-Neck Tee"/>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10248900"/>
          <a:ext cx="1828800"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xdr:row>
      <xdr:rowOff>0</xdr:rowOff>
    </xdr:from>
    <xdr:to>
      <xdr:col>0</xdr:col>
      <xdr:colOff>2028825</xdr:colOff>
      <xdr:row>6</xdr:row>
      <xdr:rowOff>2543175</xdr:rowOff>
    </xdr:to>
    <xdr:pic>
      <xdr:nvPicPr>
        <xdr:cNvPr id="8" name="Picture 7" descr="Goodthreads Men's Slim-Fit Long-Sleeve Buffalo Plaid Herringbone Shir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1281112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xdr:row>
      <xdr:rowOff>0</xdr:rowOff>
    </xdr:from>
    <xdr:to>
      <xdr:col>0</xdr:col>
      <xdr:colOff>2028825</xdr:colOff>
      <xdr:row>7</xdr:row>
      <xdr:rowOff>2543175</xdr:rowOff>
    </xdr:to>
    <xdr:pic>
      <xdr:nvPicPr>
        <xdr:cNvPr id="9" name="Picture 8" descr="Goodthreads Men's French Terry Crewneck Sweatshir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1537335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xdr:row>
      <xdr:rowOff>0</xdr:rowOff>
    </xdr:from>
    <xdr:to>
      <xdr:col>0</xdr:col>
      <xdr:colOff>2028825</xdr:colOff>
      <xdr:row>8</xdr:row>
      <xdr:rowOff>2543175</xdr:rowOff>
    </xdr:to>
    <xdr:pic>
      <xdr:nvPicPr>
        <xdr:cNvPr id="10" name="Picture 9" descr="Amazon Essentials Men's 2-Pack Regular-Fit Short-Sleeve Crewneck T-Shirts"/>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1793557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xdr:row>
      <xdr:rowOff>0</xdr:rowOff>
    </xdr:from>
    <xdr:to>
      <xdr:col>0</xdr:col>
      <xdr:colOff>2028825</xdr:colOff>
      <xdr:row>9</xdr:row>
      <xdr:rowOff>2543175</xdr:rowOff>
    </xdr:to>
    <xdr:pic>
      <xdr:nvPicPr>
        <xdr:cNvPr id="11" name="Picture 10" descr="Amazon Essentials Men's Crewneck Fleece Sweatshirt"/>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2049780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xdr:row>
      <xdr:rowOff>0</xdr:rowOff>
    </xdr:from>
    <xdr:to>
      <xdr:col>0</xdr:col>
      <xdr:colOff>2028825</xdr:colOff>
      <xdr:row>10</xdr:row>
      <xdr:rowOff>2543175</xdr:rowOff>
    </xdr:to>
    <xdr:pic>
      <xdr:nvPicPr>
        <xdr:cNvPr id="12" name="Picture 11" descr="Goodthreads Menâs Standard-Fit Plaid Oxford Shirt"/>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2306002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xdr:row>
      <xdr:rowOff>0</xdr:rowOff>
    </xdr:from>
    <xdr:to>
      <xdr:col>0</xdr:col>
      <xdr:colOff>2028825</xdr:colOff>
      <xdr:row>11</xdr:row>
      <xdr:rowOff>2543175</xdr:rowOff>
    </xdr:to>
    <xdr:pic>
      <xdr:nvPicPr>
        <xdr:cNvPr id="13" name="Picture 12" descr="Next Level Men's Cvc V-Neck Tee"/>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2562225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xdr:row>
      <xdr:rowOff>0</xdr:rowOff>
    </xdr:from>
    <xdr:to>
      <xdr:col>0</xdr:col>
      <xdr:colOff>2028825</xdr:colOff>
      <xdr:row>12</xdr:row>
      <xdr:rowOff>2543175</xdr:rowOff>
    </xdr:to>
    <xdr:pic>
      <xdr:nvPicPr>
        <xdr:cNvPr id="14" name="Picture 13" descr="New 097 Womens Skin Tight Compression Baselayer T Shirt Running Black Top S-xl (S)"/>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2818447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xdr:row>
      <xdr:rowOff>0</xdr:rowOff>
    </xdr:from>
    <xdr:to>
      <xdr:col>0</xdr:col>
      <xdr:colOff>2028825</xdr:colOff>
      <xdr:row>13</xdr:row>
      <xdr:rowOff>2543175</xdr:rowOff>
    </xdr:to>
    <xdr:pic>
      <xdr:nvPicPr>
        <xdr:cNvPr id="15" name="Picture 14" descr="Women T-Shirt Short Sleeve I Make Mommy Moves O-Neck Female Pink T Shirt Size M (Pink)"/>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3074670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xdr:row>
      <xdr:rowOff>0</xdr:rowOff>
    </xdr:from>
    <xdr:to>
      <xdr:col>0</xdr:col>
      <xdr:colOff>2028825</xdr:colOff>
      <xdr:row>14</xdr:row>
      <xdr:rowOff>2543175</xdr:rowOff>
    </xdr:to>
    <xdr:pic>
      <xdr:nvPicPr>
        <xdr:cNvPr id="16" name="Picture 15" descr="Awkward Styles Women&amp;#39;s The Future is Female Feminist Graphic Off Shoulder Tops T Shirt Women&amp;#39;s Rights Red S"/>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0" y="3330892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xdr:row>
      <xdr:rowOff>0</xdr:rowOff>
    </xdr:from>
    <xdr:to>
      <xdr:col>0</xdr:col>
      <xdr:colOff>2028825</xdr:colOff>
      <xdr:row>15</xdr:row>
      <xdr:rowOff>2543175</xdr:rowOff>
    </xdr:to>
    <xdr:pic>
      <xdr:nvPicPr>
        <xdr:cNvPr id="17" name="Picture 16" descr="Ann Arbor T-shirt Co. Boss Lady | Funny Bossy Alpha Female Glitter Glam Bling Ladies&amp;#39; V-Neck T-Shirt-(Vneck,M),Grey Frost"/>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0" y="3587115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xdr:row>
      <xdr:rowOff>0</xdr:rowOff>
    </xdr:from>
    <xdr:to>
      <xdr:col>0</xdr:col>
      <xdr:colOff>2028825</xdr:colOff>
      <xdr:row>16</xdr:row>
      <xdr:rowOff>2543175</xdr:rowOff>
    </xdr:to>
    <xdr:pic>
      <xdr:nvPicPr>
        <xdr:cNvPr id="18" name="Picture 17" descr="Dog Ready to Run - Vibrant Blue T - Women&amp;#39;s Short Sleeve T-shirt"/>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0" y="3843337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xdr:row>
      <xdr:rowOff>0</xdr:rowOff>
    </xdr:from>
    <xdr:to>
      <xdr:col>0</xdr:col>
      <xdr:colOff>2028825</xdr:colOff>
      <xdr:row>17</xdr:row>
      <xdr:rowOff>2543175</xdr:rowOff>
    </xdr:to>
    <xdr:pic>
      <xdr:nvPicPr>
        <xdr:cNvPr id="19" name="Picture 18" descr="Nurse Badss Lifesaver Funny Gift For Nurses V-Neck Women Fitted T-Shirt Medium Gray"/>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4099560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xdr:row>
      <xdr:rowOff>0</xdr:rowOff>
    </xdr:from>
    <xdr:to>
      <xdr:col>0</xdr:col>
      <xdr:colOff>2028825</xdr:colOff>
      <xdr:row>18</xdr:row>
      <xdr:rowOff>2543175</xdr:rowOff>
    </xdr:to>
    <xdr:pic>
      <xdr:nvPicPr>
        <xdr:cNvPr id="20" name="Picture 19" descr="Zazzle Women&amp;#39;s Basic T-Shirt, Female Compliance Officer Auditor Funny Nickname T-Shirt, White L"/>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0" y="4355782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xdr:row>
      <xdr:rowOff>0</xdr:rowOff>
    </xdr:from>
    <xdr:to>
      <xdr:col>0</xdr:col>
      <xdr:colOff>2028825</xdr:colOff>
      <xdr:row>19</xdr:row>
      <xdr:rowOff>2543175</xdr:rowOff>
    </xdr:to>
    <xdr:pic>
      <xdr:nvPicPr>
        <xdr:cNvPr id="21" name="Picture 20" descr="Womens GRL PWR Girl Power Feminist Sassy Female Women Girl T-Shirt Small Heather Grey"/>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0" y="4612005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xdr:row>
      <xdr:rowOff>0</xdr:rowOff>
    </xdr:from>
    <xdr:to>
      <xdr:col>0</xdr:col>
      <xdr:colOff>2028825</xdr:colOff>
      <xdr:row>20</xdr:row>
      <xdr:rowOff>2543175</xdr:rowOff>
    </xdr:to>
    <xdr:pic>
      <xdr:nvPicPr>
        <xdr:cNvPr id="23" name="Picture 22" descr="Decrum Womens DC Comics Flash Logo T-Shirt | Black, L"/>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0" y="4868227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xdr:row>
      <xdr:rowOff>0</xdr:rowOff>
    </xdr:from>
    <xdr:to>
      <xdr:col>0</xdr:col>
      <xdr:colOff>2028825</xdr:colOff>
      <xdr:row>21</xdr:row>
      <xdr:rowOff>2543175</xdr:rowOff>
    </xdr:to>
    <xdr:pic>
      <xdr:nvPicPr>
        <xdr:cNvPr id="24" name="Picture 23" descr="Lapasa Women&amp;#39;s T Shirt (Blue, Medium)"/>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0" y="5124450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xdr:row>
      <xdr:rowOff>0</xdr:rowOff>
    </xdr:from>
    <xdr:to>
      <xdr:col>0</xdr:col>
      <xdr:colOff>2028825</xdr:colOff>
      <xdr:row>22</xdr:row>
      <xdr:rowOff>2543175</xdr:rowOff>
    </xdr:to>
    <xdr:pic>
      <xdr:nvPicPr>
        <xdr:cNvPr id="25" name="Picture 24" descr="Hanes Women's Scoop-Neck Tank Top"/>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0" y="5380672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xdr:row>
      <xdr:rowOff>0</xdr:rowOff>
    </xdr:from>
    <xdr:to>
      <xdr:col>0</xdr:col>
      <xdr:colOff>2028825</xdr:colOff>
      <xdr:row>23</xdr:row>
      <xdr:rowOff>2543175</xdr:rowOff>
    </xdr:to>
    <xdr:pic>
      <xdr:nvPicPr>
        <xdr:cNvPr id="26" name="Picture 25" descr="Goodthreads Men&amp;#39;s Slim-Fit Washed Chino Pant, Khaki, 40W x 32L"/>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0" y="5636895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xdr:row>
      <xdr:rowOff>0</xdr:rowOff>
    </xdr:from>
    <xdr:to>
      <xdr:col>0</xdr:col>
      <xdr:colOff>2028825</xdr:colOff>
      <xdr:row>24</xdr:row>
      <xdr:rowOff>2543175</xdr:rowOff>
    </xdr:to>
    <xdr:pic>
      <xdr:nvPicPr>
        <xdr:cNvPr id="27" name="Picture 26" descr="Wood Paper Company Men&amp;#39;s Regular Fit Drawstring Waist Cotton Chino Pant 36W x 30L Olive"/>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0" y="5893117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xdr:row>
      <xdr:rowOff>0</xdr:rowOff>
    </xdr:from>
    <xdr:to>
      <xdr:col>0</xdr:col>
      <xdr:colOff>2028825</xdr:colOff>
      <xdr:row>25</xdr:row>
      <xdr:rowOff>2543175</xdr:rowOff>
    </xdr:to>
    <xdr:pic>
      <xdr:nvPicPr>
        <xdr:cNvPr id="28" name="Picture 27" descr="Amazon Essentials Men&amp;#39;s Classic-Fit Wrinkle-Resistant Pleated Chino Pant, Navy, 36W x 32L"/>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6149340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xdr:row>
      <xdr:rowOff>0</xdr:rowOff>
    </xdr:from>
    <xdr:to>
      <xdr:col>0</xdr:col>
      <xdr:colOff>2028825</xdr:colOff>
      <xdr:row>26</xdr:row>
      <xdr:rowOff>2543175</xdr:rowOff>
    </xdr:to>
    <xdr:pic>
      <xdr:nvPicPr>
        <xdr:cNvPr id="29" name="Picture 28" descr="Lee Uniforms Men&amp;#39;s Skinny Stretch 5 Pocket Pant, Black, 38x32"/>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6405562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xdr:row>
      <xdr:rowOff>0</xdr:rowOff>
    </xdr:from>
    <xdr:to>
      <xdr:col>0</xdr:col>
      <xdr:colOff>2028825</xdr:colOff>
      <xdr:row>27</xdr:row>
      <xdr:rowOff>2543175</xdr:rowOff>
    </xdr:to>
    <xdr:pic>
      <xdr:nvPicPr>
        <xdr:cNvPr id="31" name="Picture 30" descr="Pau1Hami1ton PH-20 Men&amp;#39;s Active Sweatpants Running Pants Sweatpants for Men (XL, Dark Blue)"/>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6661785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xdr:row>
      <xdr:rowOff>0</xdr:rowOff>
    </xdr:from>
    <xdr:to>
      <xdr:col>0</xdr:col>
      <xdr:colOff>2028825</xdr:colOff>
      <xdr:row>28</xdr:row>
      <xdr:rowOff>2543175</xdr:rowOff>
    </xdr:to>
    <xdr:pic>
      <xdr:nvPicPr>
        <xdr:cNvPr id="32" name="Picture 31" descr="Mountain Khakis Men&amp;#39;s Original Mountain Pant Relaxed Fit Granite 36W 34L"/>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6918007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xdr:row>
      <xdr:rowOff>0</xdr:rowOff>
    </xdr:from>
    <xdr:to>
      <xdr:col>0</xdr:col>
      <xdr:colOff>2028825</xdr:colOff>
      <xdr:row>29</xdr:row>
      <xdr:rowOff>2543175</xdr:rowOff>
    </xdr:to>
    <xdr:pic>
      <xdr:nvPicPr>
        <xdr:cNvPr id="33" name="Picture 32" descr="Isle Bay Linens Men&amp;#39;s Lyocell Suit Pant 38 Navy"/>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7174230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xdr:row>
      <xdr:rowOff>0</xdr:rowOff>
    </xdr:from>
    <xdr:to>
      <xdr:col>0</xdr:col>
      <xdr:colOff>2028825</xdr:colOff>
      <xdr:row>30</xdr:row>
      <xdr:rowOff>2543175</xdr:rowOff>
    </xdr:to>
    <xdr:pic>
      <xdr:nvPicPr>
        <xdr:cNvPr id="34" name="Picture 33" descr="Faux Leather PU Denim Pants For Women Sexy Stretchy Leggings Slim Fit Trousers Black 3 XXL"/>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7430452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xdr:row>
      <xdr:rowOff>0</xdr:rowOff>
    </xdr:from>
    <xdr:to>
      <xdr:col>0</xdr:col>
      <xdr:colOff>2028825</xdr:colOff>
      <xdr:row>31</xdr:row>
      <xdr:rowOff>2543175</xdr:rowOff>
    </xdr:to>
    <xdr:pic>
      <xdr:nvPicPr>
        <xdr:cNvPr id="35" name="Picture 34" descr="Always Women Super Soft Peach Skin Stretch Army Camo Print Leggings Regula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7686675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xdr:row>
      <xdr:rowOff>0</xdr:rowOff>
    </xdr:from>
    <xdr:to>
      <xdr:col>0</xdr:col>
      <xdr:colOff>2028825</xdr:colOff>
      <xdr:row>32</xdr:row>
      <xdr:rowOff>2543175</xdr:rowOff>
    </xdr:to>
    <xdr:pic>
      <xdr:nvPicPr>
        <xdr:cNvPr id="36" name="Picture 35" descr="Everbellus Womens Mesh Faux Leather Leggings Sexy Skinny Pants Black Large"/>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0" y="7942897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xdr:row>
      <xdr:rowOff>0</xdr:rowOff>
    </xdr:from>
    <xdr:to>
      <xdr:col>0</xdr:col>
      <xdr:colOff>2028825</xdr:colOff>
      <xdr:row>33</xdr:row>
      <xdr:rowOff>2543175</xdr:rowOff>
    </xdr:to>
    <xdr:pic>
      <xdr:nvPicPr>
        <xdr:cNvPr id="37" name="Picture 36" descr="Baleaf Women&amp;#39;s Ankle Legging Inner Pocket Non See-Through Black Size XL"/>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0" y="81991200"/>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xdr:row>
      <xdr:rowOff>0</xdr:rowOff>
    </xdr:from>
    <xdr:to>
      <xdr:col>0</xdr:col>
      <xdr:colOff>2028825</xdr:colOff>
      <xdr:row>34</xdr:row>
      <xdr:rowOff>2543175</xdr:rowOff>
    </xdr:to>
    <xdr:pic>
      <xdr:nvPicPr>
        <xdr:cNvPr id="38" name="Picture 37" descr="Poetic Justice Women&amp;#39;s Curvy Fit Black Vegan Leather Stretch Rayon Ponte Trouser Pant Size 26 x 29Length"/>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0" y="84553425"/>
          <a:ext cx="2028825"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JeeLyCooLa" refreshedDate="43206.217418749999" createdVersion="5" refreshedVersion="5" minRefreshableVersion="3" recordCount="34">
  <cacheSource type="worksheet">
    <worksheetSource ref="A1:J35" sheet="Products Pricing"/>
  </cacheSource>
  <cacheFields count="12">
    <cacheField name="Code" numFmtId="0">
      <sharedItems count="34">
        <s v="X-01"/>
        <s v="X-02"/>
        <s v="X-03"/>
        <s v="X-04"/>
        <s v="X-05"/>
        <s v="X-06"/>
        <s v="X-07"/>
        <s v="X-08"/>
        <s v="X-09"/>
        <s v="X-10"/>
        <s v="X-11"/>
        <s v="X-12"/>
        <s v="X-13"/>
        <s v="X-14"/>
        <s v="X-15"/>
        <s v="X-16"/>
        <s v="X-17"/>
        <s v="X-18"/>
        <s v="X-19"/>
        <s v="X-20"/>
        <s v="X-21"/>
        <s v="X-22"/>
        <s v="X-23"/>
        <s v="X-24"/>
        <s v="X-25"/>
        <s v="X-26"/>
        <s v="X-27"/>
        <s v="X-28"/>
        <s v="X-29"/>
        <s v="X-30"/>
        <s v="X-31"/>
        <s v="X-32"/>
        <s v="X-33"/>
        <s v="X-34"/>
      </sharedItems>
    </cacheField>
    <cacheField name="Gender" numFmtId="0">
      <sharedItems count="2">
        <s v="Male"/>
        <s v="Female"/>
      </sharedItems>
    </cacheField>
    <cacheField name="Product" numFmtId="0">
      <sharedItems count="2">
        <s v="Tshirt"/>
        <s v="Pants"/>
      </sharedItems>
    </cacheField>
    <cacheField name="Rank" numFmtId="0">
      <sharedItems containsSemiMixedTypes="0" containsString="0" containsNumber="1" containsInteger="1" minValue="2" maxValue="35"/>
    </cacheField>
    <cacheField name="X-Small" numFmtId="0">
      <sharedItems containsString="0" containsBlank="1" containsNumber="1" minValue="2.1015991946223123" maxValue="39.588672740275527"/>
    </cacheField>
    <cacheField name="Small" numFmtId="0">
      <sharedItems containsString="0" containsBlank="1" containsNumber="1" minValue="2.2907431221383203" maxValue="43.151653286900327"/>
    </cacheField>
    <cacheField name="Medium" numFmtId="0">
      <sharedItems containsString="0" containsBlank="1" containsNumber="1" minValue="2.5885397280163018" maxValue="48.761368214197368"/>
    </cacheField>
    <cacheField name="Large" numFmtId="0">
      <sharedItems containsString="0" containsBlank="1" containsNumber="1" minValue="3.0544768790592358" maxValue="57.538414492752892"/>
    </cacheField>
    <cacheField name="X-Large" numFmtId="0">
      <sharedItems containsString="0" containsBlank="1" containsNumber="1" minValue="3.7264617924522678" maxValue="70.196865681158528"/>
    </cacheField>
    <cacheField name="XX-Large" numFmtId="0">
      <sharedItems containsString="0" containsBlank="1" containsNumber="1" minValue="4.6208126226408117" maxValue="87.044113444636579"/>
    </cacheField>
    <cacheField name="XXX-Large" numFmtId="0">
      <sharedItems containsString="0" containsBlank="1" containsNumber="1" minValue="5.9608482832066469" maxValue="112.28690634358119"/>
    </cacheField>
    <cacheField name="XXXX-Large" numFmtId="0">
      <sharedItems containsString="0" containsBlank="1" containsNumber="1" minValue="7.9279282166648413" maxValue="149.34158543696299"/>
    </cacheField>
  </cacheFields>
  <extLst>
    <ext xmlns:x14="http://schemas.microsoft.com/office/spreadsheetml/2009/9/main" uri="{725AE2AE-9491-48be-B2B4-4EB974FC3084}">
      <x14:pivotCacheDefinition pivotCacheId="9"/>
    </ext>
  </extLst>
</pivotCacheDefinition>
</file>

<file path=xl/pivotCache/pivotCacheDefinition2.xml><?xml version="1.0" encoding="utf-8"?>
<pivotCacheDefinition xmlns="http://schemas.openxmlformats.org/spreadsheetml/2006/main" xmlns:r="http://schemas.openxmlformats.org/officeDocument/2006/relationships" r:id="rId1" refreshedBy="JeeLyCooLa" refreshedDate="43206.826267013887" missingItemsLimit="0" createdVersion="5" refreshedVersion="5" minRefreshableVersion="3" recordCount="5">
  <cacheSource type="worksheet">
    <worksheetSource name="Tb_MemorySizes"/>
  </cacheSource>
  <cacheFields count="2">
    <cacheField name="sizing" numFmtId="0">
      <sharedItems count="5">
        <s v="01 - Small"/>
        <s v="02 - Medium"/>
        <s v="03 - Large"/>
        <s v="04 - X-Large"/>
        <s v="05 - XX-Large"/>
      </sharedItems>
    </cacheField>
    <cacheField name="Rank" numFmtId="0">
      <sharedItems count="5">
        <s v="Small"/>
        <s v="Medium"/>
        <s v="Large"/>
        <s v="X-Large"/>
        <s v="XX-Large"/>
      </sharedItems>
    </cacheField>
  </cacheFields>
  <extLst>
    <ext xmlns:x14="http://schemas.microsoft.com/office/spreadsheetml/2009/9/main" uri="{725AE2AE-9491-48be-B2B4-4EB974FC3084}">
      <x14:pivotCacheDefinition pivotCacheId="10"/>
    </ext>
  </extLst>
</pivotCacheDefinition>
</file>

<file path=xl/pivotCache/pivotCacheDefinition3.xml><?xml version="1.0" encoding="utf-8"?>
<pivotCacheDefinition xmlns="http://schemas.openxmlformats.org/spreadsheetml/2006/main" xmlns:r="http://schemas.openxmlformats.org/officeDocument/2006/relationships" r:id="rId1" refreshedBy="JeeLyCooLa" refreshedDate="43206.890329513888" missingItemsLimit="0" createdVersion="5" refreshedVersion="5" minRefreshableVersion="3" recordCount="7">
  <cacheSource type="worksheet">
    <worksheetSource name="Tb_Qtys[Qty]"/>
  </cacheSource>
  <cacheFields count="1">
    <cacheField name="Qty" numFmtId="0">
      <sharedItems containsSemiMixedTypes="0" containsString="0" containsNumber="1" containsInteger="1" minValue="10" maxValue="200" count="7">
        <n v="10"/>
        <n v="25"/>
        <n v="50"/>
        <n v="75"/>
        <n v="100"/>
        <n v="150"/>
        <n v="200"/>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4">
  <r>
    <x v="0"/>
    <x v="0"/>
    <x v="0"/>
    <n v="2"/>
    <n v="6.2886504394028764"/>
    <n v="6.8546289789491359"/>
    <n v="7.7457307462125229"/>
    <n v="9.1399622805307761"/>
    <n v="11.150753982247547"/>
    <n v="13.826934937986959"/>
    <n v="17.836746070003176"/>
    <n v="23.722872273104226"/>
  </r>
  <r>
    <x v="1"/>
    <x v="0"/>
    <x v="0"/>
    <n v="3"/>
    <n v="20.928889086237035"/>
    <n v="22.81248910399837"/>
    <n v="25.778112687518156"/>
    <n v="30.418172971271424"/>
    <n v="37.110171024951136"/>
    <n v="46.016612070939409"/>
    <n v="59.361429571511842"/>
    <n v="78.950701330110761"/>
  </r>
  <r>
    <x v="2"/>
    <x v="0"/>
    <x v="0"/>
    <n v="4"/>
    <n v="12.705978480728017"/>
    <n v="13.849516543993539"/>
    <n v="15.649953694712698"/>
    <n v="18.466945359760981"/>
    <n v="22.529673338908395"/>
    <n v="27.936794940246411"/>
    <n v="36.038465472917871"/>
    <n v="47.93115907898077"/>
  </r>
  <r>
    <x v="3"/>
    <x v="0"/>
    <x v="0"/>
    <n v="5"/>
    <m/>
    <m/>
    <m/>
    <m/>
    <m/>
    <n v="51.554325324176283"/>
    <n v="66.505079668187406"/>
    <n v="88.451755958689262"/>
  </r>
  <r>
    <x v="4"/>
    <x v="0"/>
    <x v="0"/>
    <n v="6"/>
    <n v="12.707491345379612"/>
    <n v="13.851165566463779"/>
    <n v="15.651817090104069"/>
    <n v="18.469144166322803"/>
    <n v="22.532355882913819"/>
    <n v="27.940121294813135"/>
    <n v="36.042756470308944"/>
    <n v="47.936866105510902"/>
  </r>
  <r>
    <x v="5"/>
    <x v="0"/>
    <x v="0"/>
    <n v="7"/>
    <n v="19.662674084068989"/>
    <n v="21.4323147516352"/>
    <n v="24.218515669347774"/>
    <n v="28.577848489830373"/>
    <n v="34.864975157593051"/>
    <n v="43.23256919541538"/>
    <n v="55.770014262085844"/>
    <n v="74.174118968574177"/>
  </r>
  <r>
    <x v="6"/>
    <x v="0"/>
    <x v="0"/>
    <n v="8"/>
    <n v="29.285697366624873"/>
    <m/>
    <m/>
    <n v="42.564008266836794"/>
    <n v="51.928090085540887"/>
    <n v="64.390831706070699"/>
    <n v="83.06417290083121"/>
    <n v="110.47534995810551"/>
  </r>
  <r>
    <x v="7"/>
    <x v="0"/>
    <x v="0"/>
    <n v="9"/>
    <n v="39.588672740275527"/>
    <n v="43.151653286900327"/>
    <n v="48.761368214197368"/>
    <n v="57.538414492752892"/>
    <n v="70.196865681158528"/>
    <n v="87.044113444636579"/>
    <n v="112.28690634358119"/>
    <n v="149.34158543696299"/>
  </r>
  <r>
    <x v="8"/>
    <x v="0"/>
    <x v="0"/>
    <n v="10"/>
    <n v="5.7015473551735374"/>
    <n v="6.2146866171391562"/>
    <n v="7.0225958773672454"/>
    <n v="8.2866631352933489"/>
    <n v="10.109729025057886"/>
    <n v="12.536063991071778"/>
    <n v="16.171522548482596"/>
    <n v="21.508124989481853"/>
  </r>
  <r>
    <x v="9"/>
    <x v="0"/>
    <x v="0"/>
    <n v="11"/>
    <n v="35.035807313025302"/>
    <n v="38.189029971197584"/>
    <n v="43.153603867453263"/>
    <n v="50.921252563594848"/>
    <n v="62.123928127585714"/>
    <n v="77.03367087820628"/>
    <n v="99.373435432886097"/>
    <n v="132.16666912573851"/>
  </r>
  <r>
    <x v="10"/>
    <x v="0"/>
    <x v="0"/>
    <n v="12"/>
    <n v="35.25329205523731"/>
    <n v="38.426088340208672"/>
    <n v="43.421479824435792"/>
    <n v="51.237346192834231"/>
    <n v="62.509562355257763"/>
    <n v="77.511857320519624"/>
    <m/>
    <m/>
  </r>
  <r>
    <x v="11"/>
    <x v="1"/>
    <x v="0"/>
    <n v="13"/>
    <n v="3.8161529186651544"/>
    <n v="4.1596066813450188"/>
    <n v="4.7003555499198706"/>
    <n v="5.5464195489054466"/>
    <n v="6.7666318496646447"/>
    <n v="8.3906234935841599"/>
    <n v="10.823904306723566"/>
    <n v="14.395792727942345"/>
  </r>
  <r>
    <x v="12"/>
    <x v="1"/>
    <x v="0"/>
    <n v="14"/>
    <n v="4.0304572121060822"/>
    <n v="4.3931983611956298"/>
    <n v="4.9643141481510611"/>
    <n v="5.8578906948182521"/>
    <n v="7.1466266476782678"/>
    <n v="8.8618170431210519"/>
    <n v="11.431743985626158"/>
    <n v="15.20421950088279"/>
  </r>
  <r>
    <x v="13"/>
    <x v="1"/>
    <x v="0"/>
    <n v="15"/>
    <n v="37.152064924180024"/>
    <n v="40.495750767356228"/>
    <n v="45.76019836711253"/>
    <n v="53.997034073192779"/>
    <n v="65.876381569295191"/>
    <n v="81.686713145926035"/>
    <n v="105.37585995824459"/>
    <n v="140.14989374446532"/>
  </r>
  <r>
    <x v="14"/>
    <x v="1"/>
    <x v="0"/>
    <n v="16"/>
    <n v="18.591129798939065"/>
    <n v="20.26433148084358"/>
    <n v="22.898694573353243"/>
    <n v="27.020459596556826"/>
    <n v="32.964960707799328"/>
    <n v="40.876551277671169"/>
    <n v="52.730751148195807"/>
    <n v="70.131899027100431"/>
  </r>
  <r>
    <x v="15"/>
    <x v="1"/>
    <x v="0"/>
    <n v="17"/>
    <n v="38.981203281010124"/>
    <n v="42.489511576301041"/>
    <m/>
    <m/>
    <m/>
    <m/>
    <m/>
    <m/>
  </r>
  <r>
    <x v="16"/>
    <x v="1"/>
    <x v="0"/>
    <n v="18"/>
    <n v="25.091851590876932"/>
    <n v="27.350118234055856"/>
    <n v="30.905633604483114"/>
    <n v="36.46864765329007"/>
    <n v="44.491750137013881"/>
    <n v="55.169770169897212"/>
    <n v="71.169003519167404"/>
    <n v="94.65477468049265"/>
  </r>
  <r>
    <x v="17"/>
    <x v="1"/>
    <x v="0"/>
    <n v="19"/>
    <n v="8.5606477072593723"/>
    <n v="9.3311060009127171"/>
    <n v="10.54414978103137"/>
    <n v="12.442096741617016"/>
    <n v="15.179358024772759"/>
    <n v="18.822403950718222"/>
    <n v="24.280901096426508"/>
    <n v="32.29359845824726"/>
  </r>
  <r>
    <x v="18"/>
    <x v="1"/>
    <x v="0"/>
    <n v="20"/>
    <n v="38.323387744156129"/>
    <n v="41.772492641130185"/>
    <n v="47.202916684477103"/>
    <n v="55.699441687682977"/>
    <n v="67.953318858973233"/>
    <n v="84.262115385126805"/>
    <n v="108.69812884681357"/>
    <n v="144.56851136626207"/>
  </r>
  <r>
    <x v="19"/>
    <x v="1"/>
    <x v="0"/>
    <n v="21"/>
    <m/>
    <m/>
    <n v="26.215081910871877"/>
    <n v="30.933796654828814"/>
    <n v="37.73923191889115"/>
    <n v="46.796647579425027"/>
    <n v="60.367675377458283"/>
    <n v="80.289008252019528"/>
  </r>
  <r>
    <x v="20"/>
    <x v="1"/>
    <x v="0"/>
    <n v="22"/>
    <n v="2.1015991946223123"/>
    <n v="2.2907431221383203"/>
    <n v="2.5885397280163018"/>
    <n v="3.0544768790592358"/>
    <n v="3.7264617924522678"/>
    <n v="4.6208126226408117"/>
    <n v="5.9608482832066469"/>
    <n v="7.9279282166648413"/>
  </r>
  <r>
    <x v="21"/>
    <x v="1"/>
    <x v="0"/>
    <n v="23"/>
    <n v="10.446405193578311"/>
    <n v="11.38658166100036"/>
    <n v="12.866837276930406"/>
    <n v="15.182867986777879"/>
    <n v="18.523098943869012"/>
    <n v="22.968642690397576"/>
    <n v="29.629549070612875"/>
    <n v="39.407300263915126"/>
  </r>
  <r>
    <x v="22"/>
    <x v="0"/>
    <x v="1"/>
    <n v="24"/>
    <n v="38.508232995590177"/>
    <n v="41.973973965193295"/>
    <n v="47.430590580668422"/>
    <n v="55.968096885188736"/>
    <n v="68.281078199930249"/>
    <n v="84.668536967913511"/>
    <n v="109.22241268860843"/>
    <n v="145.26580887584922"/>
  </r>
  <r>
    <x v="23"/>
    <x v="0"/>
    <x v="1"/>
    <n v="25"/>
    <m/>
    <m/>
    <m/>
    <m/>
    <m/>
    <n v="69.395221919541797"/>
    <n v="89.51983627620892"/>
    <n v="119.06138224735787"/>
  </r>
  <r>
    <x v="24"/>
    <x v="0"/>
    <x v="1"/>
    <n v="26"/>
    <n v="18.701443088956836"/>
    <n v="20.384572966962953"/>
    <n v="23.034567452668135"/>
    <n v="27.180789594148397"/>
    <n v="33.160563304861043"/>
    <n v="41.119098498027689"/>
    <n v="53.043637062455723"/>
    <n v="70.548037293066116"/>
  </r>
  <r>
    <x v="25"/>
    <x v="0"/>
    <x v="1"/>
    <n v="27"/>
    <n v="30.698519029013308"/>
    <n v="33.461385741624511"/>
    <n v="37.811365888035695"/>
    <n v="44.617411747882116"/>
    <n v="54.433242332416178"/>
    <n v="67.497220492196064"/>
    <n v="87.071414434932919"/>
    <n v="115.80498119846079"/>
  </r>
  <r>
    <x v="26"/>
    <x v="0"/>
    <x v="1"/>
    <n v="28"/>
    <m/>
    <m/>
    <n v="26.23530429153244"/>
    <n v="30.957659064008279"/>
    <n v="37.768344058090101"/>
    <n v="46.832746632031721"/>
    <n v="60.414243155320925"/>
    <n v="80.350943396576838"/>
  </r>
  <r>
    <x v="27"/>
    <x v="0"/>
    <x v="1"/>
    <n v="29"/>
    <n v="21.326502803819366"/>
    <n v="23.24588805616311"/>
    <n v="26.267853503464313"/>
    <n v="30.996067134087887"/>
    <n v="37.815201903587223"/>
    <n v="46.890850360448155"/>
    <n v="60.48919696497812"/>
    <n v="80.450631963420904"/>
  </r>
  <r>
    <x v="28"/>
    <x v="0"/>
    <x v="1"/>
    <n v="30"/>
    <n v="23.413333569299411"/>
    <n v="25.52053359053636"/>
    <n v="28.838202957306084"/>
    <n v="34.029079489621175"/>
    <n v="41.515476977337833"/>
    <n v="51.479191451898913"/>
    <n v="66.408156972949598"/>
    <n v="88.322848774022972"/>
  </r>
  <r>
    <x v="29"/>
    <x v="1"/>
    <x v="1"/>
    <n v="31"/>
    <n v="19.616318203527527"/>
    <n v="21.381786841845006"/>
    <n v="24.161419131284855"/>
    <n v="28.510474574916127"/>
    <n v="34.782778981397676"/>
    <n v="43.130645936933121"/>
    <n v="55.638533258643726"/>
    <n v="73.999249233996153"/>
  </r>
  <r>
    <x v="30"/>
    <x v="1"/>
    <x v="1"/>
    <n v="32"/>
    <n v="32.242659776282721"/>
    <n v="35.144499156148171"/>
    <m/>
    <m/>
    <m/>
    <n v="70.892342204449491"/>
    <n v="91.451121443739851"/>
    <n v="121.629991520174"/>
  </r>
  <r>
    <x v="31"/>
    <x v="1"/>
    <x v="1"/>
    <n v="33"/>
    <n v="28.052798776482874"/>
    <n v="30.577550666366335"/>
    <n v="34.552632252993952"/>
    <n v="40.772106058532863"/>
    <n v="49.741969391410095"/>
    <n v="61.680042045348515"/>
    <n v="79.567254238499586"/>
    <n v="105.82444813720446"/>
  </r>
  <r>
    <x v="32"/>
    <x v="1"/>
    <x v="1"/>
    <n v="34"/>
    <n v="28.881436327112546"/>
    <n v="31.480765596552676"/>
    <n v="35.573265124104523"/>
    <n v="41.976452846443337"/>
    <n v="51.211272472660873"/>
    <n v="63.50197786609948"/>
    <n v="81.917551447268337"/>
    <n v="108.9503434248669"/>
  </r>
  <r>
    <x v="33"/>
    <x v="1"/>
    <x v="1"/>
    <n v="35"/>
    <n v="16.610854982748865"/>
    <n v="18.105831931196263"/>
    <n v="20.459590082251776"/>
    <n v="24.142316297057093"/>
    <n v="29.453625882409654"/>
    <n v="36.522496094187971"/>
    <n v="47.114019961502486"/>
    <n v="62.661646548798309"/>
  </r>
</pivotCacheRecords>
</file>

<file path=xl/pivotCache/pivotCacheRecords2.xml><?xml version="1.0" encoding="utf-8"?>
<pivotCacheRecords xmlns="http://schemas.openxmlformats.org/spreadsheetml/2006/main" xmlns:r="http://schemas.openxmlformats.org/officeDocument/2006/relationships" count="5">
  <r>
    <x v="0"/>
    <x v="0"/>
  </r>
  <r>
    <x v="1"/>
    <x v="1"/>
  </r>
  <r>
    <x v="2"/>
    <x v="2"/>
  </r>
  <r>
    <x v="3"/>
    <x v="3"/>
  </r>
  <r>
    <x v="4"/>
    <x v="4"/>
  </r>
</pivotCacheRecords>
</file>

<file path=xl/pivotCache/pivotCacheRecords3.xml><?xml version="1.0" encoding="utf-8"?>
<pivotCacheRecords xmlns="http://schemas.openxmlformats.org/spreadsheetml/2006/main" xmlns:r="http://schemas.openxmlformats.org/officeDocument/2006/relationships" count="7">
  <r>
    <x v="0"/>
  </r>
  <r>
    <x v="1"/>
  </r>
  <r>
    <x v="2"/>
  </r>
  <r>
    <x v="3"/>
  </r>
  <r>
    <x v="4"/>
  </r>
  <r>
    <x v="5"/>
  </r>
  <r>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T_Codes"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location ref="O1:O35" firstHeaderRow="1" firstDataRow="1" firstDataCol="1"/>
  <pivotFields count="12">
    <pivotField axis="axisRow" compact="0" outline="0" showAll="0" defaultSubtotal="0">
      <items count="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defaultSubtotal="0">
      <items count="2">
        <item x="1"/>
        <item x="0"/>
      </items>
    </pivotField>
    <pivotField compact="0" outline="0" showAll="0" defaultSubtotal="0">
      <items count="2">
        <item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0"/>
  </rowFields>
  <row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_Qtys" cacheId="2"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M1:M8" firstHeaderRow="1" firstDataRow="1" firstDataCol="1"/>
  <pivotFields count="1">
    <pivotField axis="axisRow" showAll="0" sortType="ascending">
      <items count="8">
        <item x="0"/>
        <item x="1"/>
        <item x="2"/>
        <item x="3"/>
        <item x="4"/>
        <item x="5"/>
        <item x="6"/>
        <item t="default"/>
      </items>
    </pivotField>
  </pivotFields>
  <rowFields count="1">
    <field x="0"/>
  </rowFields>
  <rowItems count="7">
    <i>
      <x/>
    </i>
    <i>
      <x v="1"/>
    </i>
    <i>
      <x v="2"/>
    </i>
    <i>
      <x v="3"/>
    </i>
    <i>
      <x v="4"/>
    </i>
    <i>
      <x v="5"/>
    </i>
    <i>
      <x v="6"/>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T_Sizes" cacheId="1"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location ref="H1:I3" firstHeaderRow="1" firstDataRow="1" firstDataCol="2"/>
  <pivotFields count="2">
    <pivotField axis="axisRow" compact="0" outline="0" showAll="0" defaultSubtotal="0">
      <items count="5">
        <item h="1" x="0"/>
        <item x="1"/>
        <item x="2"/>
        <item h="1" x="3"/>
        <item h="1" x="4"/>
      </items>
    </pivotField>
    <pivotField axis="axisRow" compact="0" outline="0" showAll="0" defaultSubtotal="0">
      <items count="5">
        <item x="2"/>
        <item x="1"/>
        <item x="0"/>
        <item x="3"/>
        <item x="4"/>
      </items>
    </pivotField>
  </pivotFields>
  <rowFields count="2">
    <field x="0"/>
    <field x="1"/>
  </rowFields>
  <rowItems count="2">
    <i>
      <x v="1"/>
      <x v="1"/>
    </i>
    <i>
      <x v="2"/>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Qty" sourceName="Qty">
  <pivotTables>
    <pivotTable tabId="16" name="PT_Qtys"/>
  </pivotTables>
  <data>
    <tabular pivotCacheId="7">
      <items count="7">
        <i x="0" s="1"/>
        <i x="1" s="1"/>
        <i x="2" s="1"/>
        <i x="3" s="1"/>
        <i x="4" s="1"/>
        <i x="5"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Gender" sourceName="Gender">
  <pivotTables>
    <pivotTable tabId="16" name="PT_Codes"/>
  </pivotTables>
  <data>
    <tabular pivotCacheId="9">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16" name="PT_Codes"/>
  </pivotTables>
  <data>
    <tabular pivotCacheId="9">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izing" sourceName="sizing">
  <pivotTables>
    <pivotTable tabId="16" name="PT_Sizes"/>
  </pivotTables>
  <data>
    <tabular pivotCacheId="10">
      <items count="5">
        <i x="0"/>
        <i x="1" s="1"/>
        <i x="2" s="1"/>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Qty" cache="Slicer_Qty" caption="Select Quantity" columnCount="8" style="SlicerStyleLight2" rowHeight="241300"/>
  <slicer name="Gender" cache="Slicer_Gender" caption="Gender" columnCount="2" style="SlicerStyleLight2" rowHeight="241300"/>
  <slicer name="Product" cache="Slicer_Product" caption="Product" columnCount="2" style="SlicerStyleLight2" rowHeight="241300"/>
  <slicer name="sizing" cache="Slicer_sizing" caption="sizing" columnCount="5" style="SlicerStyleLight2" rowHeight="241300"/>
</slicers>
</file>

<file path=xl/tables/table1.xml><?xml version="1.0" encoding="utf-8"?>
<table xmlns="http://schemas.openxmlformats.org/spreadsheetml/2006/main" id="2" name="Tb_MemorySizes" displayName="Tb_MemorySizes" ref="A1:B6" totalsRowShown="0" dataDxfId="3" tableBorderDxfId="2">
  <autoFilter ref="A1:B6"/>
  <tableColumns count="2">
    <tableColumn id="1" name="sizing" dataDxfId="1"/>
    <tableColumn id="2" name="Rank" dataDxfId="0"/>
  </tableColumns>
  <tableStyleInfo name="TableStyleMedium2" showFirstColumn="0" showLastColumn="0" showRowStripes="1" showColumnStripes="0"/>
</table>
</file>

<file path=xl/tables/table2.xml><?xml version="1.0" encoding="utf-8"?>
<table xmlns="http://schemas.openxmlformats.org/spreadsheetml/2006/main" id="7" name="Tb_ClothesData" displayName="Tb_ClothesData" ref="C1:C35" totalsRowShown="0">
  <autoFilter ref="C1:C35"/>
  <tableColumns count="1">
    <tableColumn id="2" name="Code"/>
  </tableColumns>
  <tableStyleInfo name="TableStyleMedium2" showFirstColumn="0" showLastColumn="0" showRowStripes="1" showColumnStripes="0"/>
</table>
</file>

<file path=xl/tables/table3.xml><?xml version="1.0" encoding="utf-8"?>
<table xmlns="http://schemas.openxmlformats.org/spreadsheetml/2006/main" id="8" name="Tb_Prices" displayName="Tb_Prices" ref="A1:J35" totalsRowShown="0">
  <autoFilter ref="A1:J35"/>
  <tableColumns count="10">
    <tableColumn id="1" name="Code"/>
    <tableColumn id="10" name="Name"/>
    <tableColumn id="2" name="Gender"/>
    <tableColumn id="3" name="Product"/>
    <tableColumn id="4" name="Rank">
      <calculatedColumnFormula>ROW()</calculatedColumnFormula>
    </tableColumn>
    <tableColumn id="5" name="Small"/>
    <tableColumn id="6" name="Medium"/>
    <tableColumn id="7" name="Large"/>
    <tableColumn id="8" name="X-Large"/>
    <tableColumn id="9" name="XX-Large"/>
  </tableColumns>
  <tableStyleInfo name="TableStyleMedium2" showFirstColumn="0" showLastColumn="0" showRowStripes="1" showColumnStripes="0"/>
</table>
</file>

<file path=xl/tables/table4.xml><?xml version="1.0" encoding="utf-8"?>
<table xmlns="http://schemas.openxmlformats.org/spreadsheetml/2006/main" id="1" name="Tb_Qtys" displayName="Tb_Qtys" ref="A1:B8" totalsRowShown="0">
  <tableColumns count="2">
    <tableColumn id="1" name="Qty"/>
    <tableColumn id="2" name="New Perce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youtSht">
    <pageSetUpPr fitToPage="1"/>
  </sheetPr>
  <dimension ref="A1:AA1673"/>
  <sheetViews>
    <sheetView view="pageBreakPreview" zoomScaleNormal="100" zoomScaleSheetLayoutView="100" workbookViewId="0">
      <selection activeCell="C553" sqref="C553"/>
    </sheetView>
  </sheetViews>
  <sheetFormatPr defaultRowHeight="9.9499999999999993" customHeight="1"/>
  <cols>
    <col min="1" max="1" width="3.7109375" style="23" customWidth="1"/>
    <col min="2" max="2" width="9.140625" style="23"/>
    <col min="3" max="3" width="16.85546875" style="23" customWidth="1"/>
    <col min="4" max="4" width="5.7109375" style="24" customWidth="1"/>
    <col min="5" max="5" width="2.140625" style="23" customWidth="1"/>
    <col min="6" max="10" width="11.7109375" style="23" customWidth="1"/>
    <col min="11" max="16" width="5.7109375" customWidth="1"/>
    <col min="17" max="19" width="4.7109375" style="11" customWidth="1"/>
    <col min="21" max="25" width="0" hidden="1" customWidth="1"/>
  </cols>
  <sheetData>
    <row r="1" spans="1:27" ht="12" customHeight="1">
      <c r="A1"/>
      <c r="B1"/>
      <c r="C1" s="11"/>
      <c r="D1" s="19"/>
      <c r="E1"/>
      <c r="F1"/>
      <c r="G1"/>
      <c r="H1"/>
      <c r="I1"/>
      <c r="J1"/>
      <c r="AA1" t="s">
        <v>7</v>
      </c>
    </row>
    <row r="2" spans="1:27" ht="12" customHeight="1">
      <c r="A2"/>
      <c r="B2" s="3"/>
      <c r="C2" s="3"/>
      <c r="D2" s="20"/>
      <c r="E2" s="3"/>
      <c r="F2" s="3"/>
      <c r="G2"/>
      <c r="H2"/>
      <c r="I2"/>
      <c r="J2" s="4"/>
    </row>
    <row r="3" spans="1:27" ht="12" customHeight="1">
      <c r="A3"/>
      <c r="B3" s="3"/>
      <c r="C3" s="3"/>
      <c r="D3" s="20"/>
      <c r="E3" s="3"/>
      <c r="F3" s="3"/>
      <c r="G3" s="21"/>
      <c r="H3" s="21"/>
      <c r="I3" s="21"/>
      <c r="J3" s="21"/>
      <c r="K3" s="21"/>
      <c r="L3" s="21"/>
      <c r="M3" s="21"/>
      <c r="N3" s="21"/>
      <c r="O3" s="21"/>
      <c r="P3" s="21"/>
      <c r="Q3" s="21"/>
      <c r="R3" s="21"/>
    </row>
    <row r="4" spans="1:27" ht="12" customHeight="1">
      <c r="A4"/>
      <c r="B4" s="3"/>
      <c r="C4" s="3"/>
      <c r="D4" s="20"/>
      <c r="E4" s="3"/>
      <c r="F4" s="3"/>
      <c r="G4" s="21"/>
      <c r="H4" s="21"/>
      <c r="I4" s="21"/>
      <c r="J4" s="21"/>
      <c r="K4" s="21"/>
      <c r="L4" s="21"/>
      <c r="M4" s="21"/>
      <c r="N4" s="21"/>
      <c r="O4" s="21"/>
      <c r="P4" s="21"/>
      <c r="Q4" s="21"/>
      <c r="R4" s="21"/>
    </row>
    <row r="5" spans="1:27" ht="12" customHeight="1">
      <c r="A5"/>
      <c r="B5" s="3"/>
      <c r="C5" s="3"/>
      <c r="D5" s="20"/>
      <c r="E5" s="3"/>
      <c r="F5" s="22"/>
      <c r="G5" s="21"/>
      <c r="H5" s="21"/>
      <c r="I5" s="21"/>
      <c r="K5" s="21"/>
      <c r="L5" s="21"/>
      <c r="M5" s="21"/>
      <c r="N5" s="21"/>
      <c r="O5" s="21"/>
      <c r="P5" s="21"/>
      <c r="Q5" s="21"/>
      <c r="R5" s="21"/>
    </row>
    <row r="6" spans="1:27" ht="12" customHeight="1">
      <c r="A6"/>
      <c r="B6" s="3"/>
      <c r="C6" s="3"/>
      <c r="D6" s="20"/>
      <c r="E6" s="3"/>
      <c r="F6" s="3"/>
      <c r="G6"/>
      <c r="H6"/>
      <c r="I6"/>
      <c r="J6" s="4"/>
    </row>
    <row r="7" spans="1:27" s="15" customFormat="1" ht="12" customHeight="1">
      <c r="B7" s="45"/>
      <c r="C7" s="45"/>
      <c r="D7" s="45"/>
      <c r="E7" s="45"/>
      <c r="F7" s="45"/>
      <c r="G7" s="45"/>
      <c r="H7" s="45"/>
      <c r="I7" s="45"/>
      <c r="J7" s="45"/>
      <c r="K7" s="45"/>
      <c r="L7" s="45"/>
      <c r="M7" s="45"/>
      <c r="N7" s="45"/>
      <c r="O7" s="45"/>
      <c r="P7" s="40"/>
      <c r="Q7" s="30"/>
      <c r="R7" s="30"/>
    </row>
    <row r="8" spans="1:27" s="15" customFormat="1" ht="12" customHeight="1">
      <c r="B8" s="45"/>
      <c r="C8" s="45"/>
      <c r="D8" s="45"/>
      <c r="E8" s="45"/>
      <c r="F8" s="45"/>
      <c r="G8" s="45"/>
      <c r="H8" s="45"/>
      <c r="I8" s="45"/>
      <c r="J8" s="45"/>
      <c r="K8" s="45"/>
      <c r="L8" s="45"/>
      <c r="M8" s="45"/>
      <c r="N8" s="45"/>
      <c r="O8" s="45"/>
      <c r="P8" s="40"/>
      <c r="Q8" s="30"/>
      <c r="R8" s="30"/>
    </row>
    <row r="9" spans="1:27" s="15" customFormat="1" ht="12" customHeight="1">
      <c r="B9" s="46"/>
      <c r="C9" s="46"/>
      <c r="D9" s="46"/>
      <c r="E9" s="46"/>
      <c r="F9" s="46"/>
      <c r="G9" s="46"/>
      <c r="H9" s="46"/>
      <c r="I9" s="46"/>
      <c r="J9" s="46"/>
      <c r="K9" s="46"/>
      <c r="L9" s="46"/>
      <c r="M9" s="46"/>
      <c r="N9" s="46"/>
      <c r="O9" s="46"/>
      <c r="P9" s="40"/>
      <c r="Q9" s="30"/>
      <c r="R9" s="30"/>
    </row>
    <row r="10" spans="1:27" s="15" customFormat="1" ht="12" customHeight="1">
      <c r="B10" s="41"/>
      <c r="C10" s="41"/>
      <c r="D10" s="47"/>
      <c r="E10" s="47"/>
      <c r="F10" s="47"/>
      <c r="G10" s="42"/>
      <c r="H10" s="42"/>
      <c r="I10" s="42"/>
      <c r="J10" s="42"/>
      <c r="K10" s="42"/>
      <c r="L10" s="42"/>
      <c r="M10" s="42"/>
      <c r="N10" s="42"/>
      <c r="O10" s="42"/>
      <c r="P10" s="42"/>
      <c r="Q10" s="31"/>
      <c r="R10" s="31"/>
      <c r="S10" s="29"/>
    </row>
    <row r="11" spans="1:27" ht="12" customHeight="1">
      <c r="A11"/>
      <c r="B11" s="3"/>
      <c r="C11" s="32"/>
      <c r="D11" s="20"/>
      <c r="E11" s="3"/>
      <c r="F11" s="3"/>
      <c r="G11" s="3"/>
      <c r="H11" s="3"/>
      <c r="I11" s="3"/>
      <c r="J11" s="3"/>
      <c r="K11" s="3"/>
      <c r="L11" s="3"/>
      <c r="M11" s="3"/>
      <c r="N11" s="3"/>
      <c r="O11" s="3"/>
      <c r="P11" s="3"/>
      <c r="Q11" s="7"/>
      <c r="R11" s="7"/>
    </row>
    <row r="12" spans="1:27" s="11" customFormat="1" ht="12" customHeight="1">
      <c r="A12" s="23"/>
      <c r="B12" s="23"/>
      <c r="C12" s="23"/>
      <c r="D12" s="24"/>
      <c r="E12" s="23"/>
      <c r="F12" s="23"/>
      <c r="G12" s="23"/>
      <c r="H12" s="23"/>
      <c r="I12" s="23"/>
      <c r="J12" s="23"/>
    </row>
    <row r="13" spans="1:27" ht="12" customHeight="1"/>
    <row r="14" spans="1:27" ht="9.9499999999999993" customHeight="1">
      <c r="B14" s="25"/>
      <c r="D14" s="26"/>
      <c r="E14" s="27"/>
      <c r="F14" s="33"/>
      <c r="G14" s="33"/>
      <c r="H14" s="33"/>
      <c r="I14" s="33"/>
      <c r="J14" s="33"/>
      <c r="K14" s="33"/>
      <c r="L14" s="33"/>
      <c r="M14" s="33"/>
      <c r="N14" s="33"/>
      <c r="O14" s="33"/>
      <c r="P14" s="33"/>
      <c r="Q14" s="33"/>
      <c r="R14" s="33"/>
      <c r="S14" s="16"/>
      <c r="AA14" t="s">
        <v>8</v>
      </c>
    </row>
    <row r="15" spans="1:27" ht="9.9499999999999993" customHeight="1">
      <c r="B15" s="25"/>
      <c r="D15" s="26"/>
      <c r="E15" s="27"/>
      <c r="F15" s="34"/>
      <c r="G15" s="34"/>
      <c r="H15" s="34"/>
      <c r="I15" s="34"/>
      <c r="J15" s="34"/>
      <c r="K15" s="34"/>
      <c r="L15" s="34"/>
      <c r="M15" s="34"/>
      <c r="N15" s="34"/>
      <c r="O15" s="34"/>
      <c r="P15" s="34"/>
      <c r="Q15" s="34"/>
      <c r="R15" s="34"/>
      <c r="S15" s="17"/>
    </row>
    <row r="16" spans="1:27" ht="9.9499999999999993" customHeight="1">
      <c r="B16" s="25"/>
      <c r="D16" s="26"/>
      <c r="E16" s="43"/>
      <c r="F16" s="34"/>
      <c r="G16" s="34"/>
      <c r="H16" s="34"/>
      <c r="I16" s="34"/>
      <c r="J16" s="34"/>
      <c r="K16" s="34"/>
      <c r="L16" s="34"/>
      <c r="M16" s="34"/>
      <c r="N16" s="34"/>
      <c r="O16" s="34"/>
      <c r="P16" s="34"/>
      <c r="Q16" s="34"/>
      <c r="R16" s="34"/>
      <c r="S16" s="17"/>
    </row>
    <row r="17" spans="1:27" ht="9.9499999999999993" customHeight="1">
      <c r="B17" s="25"/>
      <c r="D17" s="26"/>
      <c r="E17" s="43"/>
      <c r="F17" s="34"/>
      <c r="G17" s="34"/>
      <c r="H17" s="34"/>
      <c r="I17" s="34"/>
      <c r="J17" s="34"/>
      <c r="K17" s="34"/>
      <c r="L17" s="34"/>
      <c r="M17" s="34"/>
      <c r="N17" s="34"/>
      <c r="O17" s="34"/>
      <c r="P17" s="34"/>
      <c r="Q17" s="34"/>
      <c r="R17" s="34"/>
      <c r="S17" s="17"/>
    </row>
    <row r="18" spans="1:27" ht="9.9499999999999993" customHeight="1">
      <c r="B18" s="25"/>
      <c r="D18" s="26"/>
      <c r="E18" s="43"/>
      <c r="F18" s="34"/>
      <c r="G18" s="34"/>
      <c r="H18" s="34"/>
      <c r="I18" s="34"/>
      <c r="J18" s="34"/>
      <c r="K18" s="34"/>
      <c r="L18" s="34"/>
      <c r="M18" s="34"/>
      <c r="N18" s="34"/>
      <c r="O18" s="34"/>
      <c r="P18" s="34"/>
      <c r="Q18" s="34"/>
      <c r="R18" s="34"/>
      <c r="S18" s="17"/>
    </row>
    <row r="19" spans="1:27" ht="9.9499999999999993" customHeight="1">
      <c r="B19" s="25"/>
      <c r="D19" s="26"/>
      <c r="E19" s="43"/>
      <c r="F19" s="34"/>
      <c r="G19" s="34"/>
      <c r="H19" s="34"/>
      <c r="I19" s="34"/>
      <c r="J19" s="34"/>
      <c r="K19" s="34"/>
      <c r="L19" s="34"/>
      <c r="M19" s="34"/>
      <c r="N19" s="34"/>
      <c r="O19" s="34"/>
      <c r="P19" s="34"/>
      <c r="Q19" s="34"/>
      <c r="R19" s="34"/>
      <c r="S19" s="17"/>
    </row>
    <row r="20" spans="1:27" ht="9.9499999999999993" customHeight="1">
      <c r="B20" s="25"/>
      <c r="D20" s="26"/>
      <c r="E20" s="43"/>
      <c r="F20" s="34"/>
      <c r="G20" s="34"/>
      <c r="H20" s="34"/>
      <c r="I20" s="34"/>
      <c r="J20" s="34"/>
      <c r="K20" s="34"/>
      <c r="L20" s="34"/>
      <c r="M20" s="34"/>
      <c r="N20" s="34"/>
      <c r="O20" s="34"/>
      <c r="P20" s="34"/>
      <c r="Q20" s="34"/>
      <c r="R20" s="34"/>
      <c r="S20" s="17"/>
    </row>
    <row r="21" spans="1:27" ht="9.9499999999999993" customHeight="1">
      <c r="B21" s="28"/>
      <c r="D21" s="26"/>
      <c r="E21" s="43"/>
      <c r="F21" s="34"/>
      <c r="G21" s="34"/>
      <c r="H21" s="34"/>
      <c r="I21" s="34"/>
      <c r="J21" s="34"/>
      <c r="K21" s="34"/>
      <c r="L21" s="34"/>
      <c r="M21" s="34"/>
      <c r="N21" s="34"/>
      <c r="O21" s="34"/>
      <c r="P21" s="34"/>
      <c r="Q21" s="34"/>
      <c r="R21" s="34"/>
      <c r="S21" s="17"/>
    </row>
    <row r="22" spans="1:27" ht="9.9499999999999993" customHeight="1">
      <c r="B22" s="28"/>
      <c r="D22" s="26"/>
      <c r="E22" s="43"/>
      <c r="F22" s="34"/>
      <c r="G22" s="34"/>
      <c r="H22" s="34"/>
      <c r="I22" s="34"/>
      <c r="J22" s="34"/>
      <c r="K22" s="34"/>
      <c r="L22" s="34"/>
      <c r="M22" s="34"/>
      <c r="N22" s="34"/>
      <c r="O22" s="34"/>
      <c r="P22" s="34"/>
      <c r="Q22" s="34"/>
      <c r="R22" s="34"/>
      <c r="S22" s="17"/>
    </row>
    <row r="23" spans="1:27" s="11" customFormat="1" ht="9.9499999999999993" customHeight="1">
      <c r="A23" s="23"/>
      <c r="B23" s="25"/>
      <c r="C23" s="23"/>
      <c r="D23" s="26"/>
      <c r="E23" s="43"/>
      <c r="F23" s="34"/>
      <c r="G23" s="34"/>
      <c r="H23" s="34"/>
      <c r="I23" s="34"/>
      <c r="J23" s="34"/>
      <c r="K23" s="34"/>
      <c r="L23" s="34"/>
      <c r="M23" s="34"/>
      <c r="N23" s="34"/>
      <c r="O23" s="34"/>
      <c r="P23" s="34"/>
      <c r="Q23" s="35"/>
      <c r="R23" s="35"/>
    </row>
    <row r="24" spans="1:27" ht="9.9499999999999993" customHeight="1">
      <c r="F24" s="35"/>
      <c r="G24" s="35"/>
      <c r="H24" s="35"/>
      <c r="I24" s="35"/>
      <c r="J24" s="35"/>
      <c r="K24" s="35"/>
      <c r="L24" s="35"/>
      <c r="M24" s="35"/>
      <c r="N24" s="35"/>
      <c r="O24" s="35"/>
      <c r="P24" s="35"/>
      <c r="Q24" s="35"/>
      <c r="R24" s="35"/>
    </row>
    <row r="25" spans="1:27" ht="9.9499999999999993" customHeight="1">
      <c r="F25" s="35"/>
      <c r="G25" s="35"/>
      <c r="H25" s="35"/>
      <c r="I25" s="35"/>
      <c r="J25" s="35"/>
      <c r="K25" s="35"/>
      <c r="L25" s="35"/>
      <c r="M25" s="35"/>
      <c r="N25" s="35"/>
      <c r="O25" s="35"/>
      <c r="P25" s="35"/>
      <c r="Q25" s="35"/>
      <c r="R25" s="35"/>
    </row>
    <row r="26" spans="1:27" ht="9.9499999999999993" customHeight="1">
      <c r="B26" s="25"/>
      <c r="D26" s="26"/>
      <c r="E26" s="27"/>
      <c r="F26" s="33"/>
      <c r="G26" s="33"/>
      <c r="H26" s="33"/>
      <c r="I26" s="33"/>
      <c r="J26" s="33"/>
      <c r="K26" s="33"/>
      <c r="L26" s="33"/>
      <c r="M26" s="33"/>
      <c r="N26" s="33"/>
      <c r="O26" s="33"/>
      <c r="P26" s="33"/>
      <c r="Q26" s="35"/>
      <c r="R26" s="35"/>
      <c r="AA26" s="11" t="s">
        <v>8</v>
      </c>
    </row>
    <row r="27" spans="1:27" ht="9.9499999999999993" customHeight="1">
      <c r="B27" s="25"/>
      <c r="D27" s="26"/>
      <c r="E27" s="27"/>
      <c r="F27" s="34"/>
      <c r="G27" s="34"/>
      <c r="H27" s="34"/>
      <c r="I27" s="34"/>
      <c r="J27" s="34"/>
      <c r="K27" s="34"/>
      <c r="L27" s="34"/>
      <c r="M27" s="34"/>
      <c r="N27" s="34"/>
      <c r="O27" s="34"/>
      <c r="P27" s="34"/>
      <c r="Q27" s="35"/>
      <c r="R27" s="35"/>
      <c r="AA27" s="11"/>
    </row>
    <row r="28" spans="1:27" ht="9.9499999999999993" customHeight="1">
      <c r="B28" s="25"/>
      <c r="D28" s="26"/>
      <c r="E28" s="27"/>
      <c r="F28" s="34"/>
      <c r="G28" s="34"/>
      <c r="H28" s="34"/>
      <c r="I28" s="34"/>
      <c r="J28" s="34"/>
      <c r="K28" s="34"/>
      <c r="L28" s="34"/>
      <c r="M28" s="34"/>
      <c r="N28" s="34"/>
      <c r="O28" s="34"/>
      <c r="P28" s="34"/>
      <c r="Q28" s="35"/>
      <c r="R28" s="35"/>
      <c r="AA28" s="11"/>
    </row>
    <row r="29" spans="1:27" ht="9.9499999999999993" customHeight="1">
      <c r="B29" s="25"/>
      <c r="D29" s="26"/>
      <c r="E29" s="27"/>
      <c r="F29" s="34"/>
      <c r="G29" s="34"/>
      <c r="H29" s="34"/>
      <c r="I29" s="34"/>
      <c r="J29" s="34"/>
      <c r="K29" s="34"/>
      <c r="L29" s="34"/>
      <c r="M29" s="34"/>
      <c r="N29" s="34"/>
      <c r="O29" s="34"/>
      <c r="P29" s="34"/>
      <c r="Q29" s="35"/>
      <c r="R29" s="35"/>
      <c r="AA29" s="11"/>
    </row>
    <row r="30" spans="1:27" ht="9.9499999999999993" customHeight="1">
      <c r="B30" s="25"/>
      <c r="D30" s="26"/>
      <c r="E30" s="27"/>
      <c r="F30" s="34"/>
      <c r="G30" s="34"/>
      <c r="H30" s="34"/>
      <c r="I30" s="34"/>
      <c r="J30" s="34"/>
      <c r="K30" s="34"/>
      <c r="L30" s="34"/>
      <c r="M30" s="34"/>
      <c r="N30" s="34"/>
      <c r="O30" s="34"/>
      <c r="P30" s="34"/>
      <c r="Q30" s="35"/>
      <c r="R30" s="35"/>
      <c r="AA30" s="11"/>
    </row>
    <row r="31" spans="1:27" ht="9.9499999999999993" customHeight="1">
      <c r="B31" s="25"/>
      <c r="D31" s="26"/>
      <c r="E31" s="27"/>
      <c r="F31" s="34"/>
      <c r="G31" s="34"/>
      <c r="H31" s="34"/>
      <c r="I31" s="34"/>
      <c r="J31" s="34"/>
      <c r="K31" s="34"/>
      <c r="L31" s="34"/>
      <c r="M31" s="34"/>
      <c r="N31" s="34"/>
      <c r="O31" s="34"/>
      <c r="P31" s="34"/>
      <c r="Q31" s="35"/>
      <c r="R31" s="35"/>
      <c r="AA31" s="11"/>
    </row>
    <row r="32" spans="1:27" ht="9.9499999999999993" customHeight="1">
      <c r="B32" s="25"/>
      <c r="D32" s="26"/>
      <c r="E32" s="27"/>
      <c r="F32" s="34"/>
      <c r="G32" s="34"/>
      <c r="H32" s="34"/>
      <c r="I32" s="34"/>
      <c r="J32" s="34"/>
      <c r="K32" s="34"/>
      <c r="L32" s="34"/>
      <c r="M32" s="34"/>
      <c r="N32" s="34"/>
      <c r="O32" s="34"/>
      <c r="P32" s="34"/>
      <c r="Q32" s="35"/>
      <c r="R32" s="35"/>
      <c r="AA32" s="11"/>
    </row>
    <row r="33" spans="1:27" ht="9.9499999999999993" customHeight="1">
      <c r="B33" s="28"/>
      <c r="D33" s="26"/>
      <c r="E33" s="27"/>
      <c r="F33" s="34"/>
      <c r="G33" s="34"/>
      <c r="H33" s="34"/>
      <c r="I33" s="34"/>
      <c r="J33" s="34"/>
      <c r="K33" s="34"/>
      <c r="L33" s="34"/>
      <c r="M33" s="34"/>
      <c r="N33" s="34"/>
      <c r="O33" s="34"/>
      <c r="P33" s="34"/>
      <c r="Q33" s="35"/>
      <c r="R33" s="35"/>
      <c r="AA33" s="11"/>
    </row>
    <row r="34" spans="1:27" ht="9.9499999999999993" customHeight="1">
      <c r="B34" s="28"/>
      <c r="D34" s="26"/>
      <c r="E34" s="27"/>
      <c r="F34" s="34"/>
      <c r="G34" s="34"/>
      <c r="H34" s="34"/>
      <c r="I34" s="34"/>
      <c r="J34" s="34"/>
      <c r="K34" s="34"/>
      <c r="L34" s="34"/>
      <c r="M34" s="34"/>
      <c r="N34" s="34"/>
      <c r="O34" s="34"/>
      <c r="P34" s="34"/>
      <c r="Q34" s="35"/>
      <c r="R34" s="35"/>
      <c r="AA34" s="11"/>
    </row>
    <row r="35" spans="1:27" s="11" customFormat="1" ht="9.9499999999999993" customHeight="1">
      <c r="A35" s="23"/>
      <c r="B35" s="25"/>
      <c r="C35" s="23"/>
      <c r="D35" s="26"/>
      <c r="E35" s="27"/>
      <c r="F35" s="34"/>
      <c r="G35" s="34"/>
      <c r="H35" s="34"/>
      <c r="I35" s="34"/>
      <c r="J35" s="34"/>
      <c r="K35" s="34"/>
      <c r="L35" s="34"/>
      <c r="M35" s="34"/>
      <c r="N35" s="34"/>
      <c r="O35" s="34"/>
      <c r="P35" s="34"/>
      <c r="Q35" s="35"/>
      <c r="R35" s="35"/>
    </row>
    <row r="36" spans="1:27" ht="9.9499999999999993" customHeight="1">
      <c r="F36" s="35"/>
      <c r="G36" s="35"/>
      <c r="H36" s="35"/>
      <c r="I36" s="35"/>
      <c r="J36" s="35"/>
      <c r="K36" s="35"/>
      <c r="L36" s="35"/>
      <c r="M36" s="35"/>
      <c r="N36" s="35"/>
      <c r="O36" s="35"/>
      <c r="P36" s="35"/>
      <c r="Q36" s="35"/>
      <c r="R36" s="35"/>
      <c r="AA36" s="11"/>
    </row>
    <row r="37" spans="1:27" ht="9.9499999999999993" customHeight="1">
      <c r="F37" s="35"/>
      <c r="G37" s="35"/>
      <c r="H37" s="35"/>
      <c r="I37" s="35"/>
      <c r="J37" s="35"/>
      <c r="K37" s="35"/>
      <c r="L37" s="35"/>
      <c r="M37" s="35"/>
      <c r="N37" s="35"/>
      <c r="O37" s="35"/>
      <c r="P37" s="35"/>
      <c r="Q37" s="35"/>
      <c r="R37" s="35"/>
      <c r="AA37" s="11"/>
    </row>
    <row r="38" spans="1:27" ht="9.9499999999999993" customHeight="1">
      <c r="B38" s="25"/>
      <c r="D38" s="26"/>
      <c r="E38" s="27"/>
      <c r="F38" s="33"/>
      <c r="G38" s="33"/>
      <c r="H38" s="33"/>
      <c r="I38" s="33"/>
      <c r="J38" s="33"/>
      <c r="K38" s="33"/>
      <c r="L38" s="33"/>
      <c r="M38" s="33"/>
      <c r="N38" s="33"/>
      <c r="O38" s="33"/>
      <c r="P38" s="33"/>
      <c r="Q38" s="35"/>
      <c r="R38" s="35"/>
      <c r="AA38" s="11" t="s">
        <v>8</v>
      </c>
    </row>
    <row r="39" spans="1:27" ht="9.9499999999999993" customHeight="1">
      <c r="B39" s="25"/>
      <c r="D39" s="26"/>
      <c r="E39" s="27"/>
      <c r="F39" s="34"/>
      <c r="G39" s="34"/>
      <c r="H39" s="34"/>
      <c r="I39" s="34"/>
      <c r="J39" s="34"/>
      <c r="K39" s="34"/>
      <c r="L39" s="34"/>
      <c r="M39" s="34"/>
      <c r="N39" s="34"/>
      <c r="O39" s="34"/>
      <c r="P39" s="34"/>
      <c r="Q39" s="35"/>
      <c r="R39" s="35"/>
      <c r="AA39" s="11"/>
    </row>
    <row r="40" spans="1:27" ht="9.9499999999999993" customHeight="1">
      <c r="B40" s="25"/>
      <c r="D40" s="26"/>
      <c r="E40" s="27"/>
      <c r="F40" s="34"/>
      <c r="G40" s="34"/>
      <c r="H40" s="34"/>
      <c r="I40" s="34"/>
      <c r="J40" s="34"/>
      <c r="K40" s="34"/>
      <c r="L40" s="34"/>
      <c r="M40" s="34"/>
      <c r="N40" s="34"/>
      <c r="O40" s="34"/>
      <c r="P40" s="34"/>
      <c r="Q40" s="35"/>
      <c r="R40" s="35"/>
      <c r="AA40" s="11"/>
    </row>
    <row r="41" spans="1:27" ht="9.9499999999999993" customHeight="1">
      <c r="B41" s="25"/>
      <c r="D41" s="26"/>
      <c r="E41" s="27"/>
      <c r="F41" s="34"/>
      <c r="G41" s="34"/>
      <c r="H41" s="34"/>
      <c r="I41" s="34"/>
      <c r="J41" s="34"/>
      <c r="K41" s="34"/>
      <c r="L41" s="34"/>
      <c r="M41" s="34"/>
      <c r="N41" s="34"/>
      <c r="O41" s="34"/>
      <c r="P41" s="34"/>
      <c r="Q41" s="35"/>
      <c r="R41" s="35"/>
      <c r="AA41" s="11"/>
    </row>
    <row r="42" spans="1:27" ht="9.9499999999999993" customHeight="1">
      <c r="B42" s="25"/>
      <c r="D42" s="26"/>
      <c r="E42" s="27"/>
      <c r="F42" s="34"/>
      <c r="G42" s="34"/>
      <c r="H42" s="34"/>
      <c r="I42" s="34"/>
      <c r="J42" s="34"/>
      <c r="K42" s="34"/>
      <c r="L42" s="34"/>
      <c r="M42" s="34"/>
      <c r="N42" s="34"/>
      <c r="O42" s="34"/>
      <c r="P42" s="34"/>
      <c r="Q42" s="35"/>
      <c r="R42" s="35"/>
      <c r="AA42" s="11"/>
    </row>
    <row r="43" spans="1:27" ht="9.9499999999999993" customHeight="1">
      <c r="B43" s="25"/>
      <c r="D43" s="26"/>
      <c r="E43" s="27"/>
      <c r="F43" s="34"/>
      <c r="G43" s="34"/>
      <c r="H43" s="34"/>
      <c r="I43" s="34"/>
      <c r="J43" s="34"/>
      <c r="K43" s="34"/>
      <c r="L43" s="34"/>
      <c r="M43" s="34"/>
      <c r="N43" s="34"/>
      <c r="O43" s="34"/>
      <c r="P43" s="34"/>
      <c r="Q43" s="35"/>
      <c r="R43" s="35"/>
      <c r="AA43" s="11"/>
    </row>
    <row r="44" spans="1:27" ht="9.9499999999999993" customHeight="1">
      <c r="B44" s="25"/>
      <c r="D44" s="26"/>
      <c r="E44" s="27"/>
      <c r="F44" s="34"/>
      <c r="G44" s="34"/>
      <c r="H44" s="34"/>
      <c r="I44" s="34"/>
      <c r="J44" s="34"/>
      <c r="K44" s="34"/>
      <c r="L44" s="34"/>
      <c r="M44" s="34"/>
      <c r="N44" s="34"/>
      <c r="O44" s="34"/>
      <c r="P44" s="34"/>
      <c r="Q44" s="35"/>
      <c r="R44" s="35"/>
      <c r="AA44" s="11"/>
    </row>
    <row r="45" spans="1:27" ht="9.9499999999999993" customHeight="1">
      <c r="B45" s="28"/>
      <c r="D45" s="26"/>
      <c r="E45" s="27"/>
      <c r="F45" s="34"/>
      <c r="G45" s="34"/>
      <c r="H45" s="34"/>
      <c r="I45" s="34"/>
      <c r="J45" s="34"/>
      <c r="K45" s="34"/>
      <c r="L45" s="34"/>
      <c r="M45" s="34"/>
      <c r="N45" s="34"/>
      <c r="O45" s="34"/>
      <c r="P45" s="34"/>
      <c r="Q45" s="35"/>
      <c r="R45" s="35"/>
      <c r="AA45" s="11"/>
    </row>
    <row r="46" spans="1:27" ht="9.9499999999999993" customHeight="1">
      <c r="B46" s="28"/>
      <c r="D46" s="26"/>
      <c r="E46" s="27"/>
      <c r="F46" s="34"/>
      <c r="G46" s="34"/>
      <c r="H46" s="34"/>
      <c r="I46" s="34"/>
      <c r="J46" s="34"/>
      <c r="K46" s="34"/>
      <c r="L46" s="34"/>
      <c r="M46" s="34"/>
      <c r="N46" s="34"/>
      <c r="O46" s="34"/>
      <c r="P46" s="34"/>
      <c r="Q46" s="35"/>
      <c r="R46" s="35"/>
      <c r="AA46" s="11"/>
    </row>
    <row r="47" spans="1:27" s="11" customFormat="1" ht="9.9499999999999993" customHeight="1">
      <c r="A47" s="23"/>
      <c r="B47" s="25"/>
      <c r="C47" s="23"/>
      <c r="D47" s="26"/>
      <c r="E47" s="27"/>
      <c r="F47" s="34"/>
      <c r="G47" s="34"/>
      <c r="H47" s="34"/>
      <c r="I47" s="34"/>
      <c r="J47" s="34"/>
      <c r="K47" s="34"/>
      <c r="L47" s="34"/>
      <c r="M47" s="34"/>
      <c r="N47" s="34"/>
      <c r="O47" s="34"/>
      <c r="P47" s="34"/>
      <c r="Q47" s="35"/>
      <c r="R47" s="35"/>
    </row>
    <row r="48" spans="1:27" ht="9.9499999999999993" customHeight="1">
      <c r="F48" s="35"/>
      <c r="G48" s="35"/>
      <c r="H48" s="35"/>
      <c r="I48" s="35"/>
      <c r="J48" s="35"/>
      <c r="K48" s="35"/>
      <c r="L48" s="35"/>
      <c r="M48" s="35"/>
      <c r="N48" s="35"/>
      <c r="O48" s="35"/>
      <c r="P48" s="35"/>
      <c r="Q48" s="35"/>
      <c r="R48" s="35"/>
      <c r="AA48" s="11"/>
    </row>
    <row r="49" spans="1:27" ht="9.9499999999999993" customHeight="1">
      <c r="F49" s="35"/>
      <c r="G49" s="35"/>
      <c r="H49" s="35"/>
      <c r="I49" s="35"/>
      <c r="J49" s="35"/>
      <c r="K49" s="35"/>
      <c r="L49" s="35"/>
      <c r="M49" s="35"/>
      <c r="N49" s="35"/>
      <c r="O49" s="35"/>
      <c r="P49" s="35"/>
      <c r="Q49" s="35"/>
      <c r="R49" s="35"/>
      <c r="AA49" s="11"/>
    </row>
    <row r="50" spans="1:27" ht="9.9499999999999993" customHeight="1">
      <c r="B50" s="25"/>
      <c r="D50" s="26"/>
      <c r="E50" s="27"/>
      <c r="F50" s="33"/>
      <c r="G50" s="33"/>
      <c r="H50" s="33"/>
      <c r="I50" s="33"/>
      <c r="J50" s="33"/>
      <c r="K50" s="33"/>
      <c r="L50" s="33"/>
      <c r="M50" s="33"/>
      <c r="N50" s="33"/>
      <c r="O50" s="33"/>
      <c r="P50" s="33"/>
      <c r="Q50" s="35"/>
      <c r="R50" s="35"/>
      <c r="AA50" s="11" t="s">
        <v>8</v>
      </c>
    </row>
    <row r="51" spans="1:27" ht="9.9499999999999993" customHeight="1">
      <c r="B51" s="25"/>
      <c r="D51" s="26"/>
      <c r="E51" s="27"/>
      <c r="F51" s="34"/>
      <c r="G51" s="34"/>
      <c r="H51" s="34"/>
      <c r="I51" s="34"/>
      <c r="J51" s="34"/>
      <c r="K51" s="34"/>
      <c r="L51" s="34"/>
      <c r="M51" s="34"/>
      <c r="N51" s="34"/>
      <c r="O51" s="34"/>
      <c r="P51" s="34"/>
      <c r="Q51" s="35"/>
      <c r="R51" s="35"/>
      <c r="AA51" s="11"/>
    </row>
    <row r="52" spans="1:27" ht="9.9499999999999993" customHeight="1">
      <c r="B52" s="25"/>
      <c r="D52" s="26"/>
      <c r="E52" s="27"/>
      <c r="F52" s="34"/>
      <c r="G52" s="34"/>
      <c r="H52" s="34"/>
      <c r="I52" s="34"/>
      <c r="J52" s="34"/>
      <c r="K52" s="34"/>
      <c r="L52" s="34"/>
      <c r="M52" s="34"/>
      <c r="N52" s="34"/>
      <c r="O52" s="34"/>
      <c r="P52" s="34"/>
      <c r="Q52" s="35"/>
      <c r="R52" s="35"/>
      <c r="AA52" s="11"/>
    </row>
    <row r="53" spans="1:27" ht="9.9499999999999993" customHeight="1">
      <c r="B53" s="25"/>
      <c r="D53" s="26"/>
      <c r="E53" s="27"/>
      <c r="F53" s="34"/>
      <c r="G53" s="34"/>
      <c r="H53" s="34"/>
      <c r="I53" s="34"/>
      <c r="J53" s="34"/>
      <c r="K53" s="34"/>
      <c r="L53" s="34"/>
      <c r="M53" s="34"/>
      <c r="N53" s="34"/>
      <c r="O53" s="34"/>
      <c r="P53" s="34"/>
      <c r="Q53" s="35"/>
      <c r="R53" s="35"/>
      <c r="AA53" s="11"/>
    </row>
    <row r="54" spans="1:27" ht="9.9499999999999993" customHeight="1">
      <c r="B54" s="25"/>
      <c r="D54" s="26"/>
      <c r="E54" s="27"/>
      <c r="F54" s="34"/>
      <c r="G54" s="34"/>
      <c r="H54" s="34"/>
      <c r="I54" s="34"/>
      <c r="J54" s="34"/>
      <c r="K54" s="34"/>
      <c r="L54" s="34"/>
      <c r="M54" s="34"/>
      <c r="N54" s="34"/>
      <c r="O54" s="34"/>
      <c r="P54" s="34"/>
      <c r="Q54" s="35"/>
      <c r="R54" s="35"/>
      <c r="AA54" s="11"/>
    </row>
    <row r="55" spans="1:27" ht="9.9499999999999993" customHeight="1">
      <c r="B55" s="25"/>
      <c r="D55" s="26"/>
      <c r="E55" s="27"/>
      <c r="F55" s="34"/>
      <c r="G55" s="34"/>
      <c r="H55" s="34"/>
      <c r="I55" s="34"/>
      <c r="J55" s="34"/>
      <c r="K55" s="34"/>
      <c r="L55" s="34"/>
      <c r="M55" s="34"/>
      <c r="N55" s="34"/>
      <c r="O55" s="34"/>
      <c r="P55" s="34"/>
      <c r="Q55" s="35"/>
      <c r="R55" s="35"/>
      <c r="AA55" s="11"/>
    </row>
    <row r="56" spans="1:27" ht="9.9499999999999993" customHeight="1">
      <c r="B56" s="25"/>
      <c r="D56" s="26"/>
      <c r="E56" s="27"/>
      <c r="F56" s="34"/>
      <c r="G56" s="34"/>
      <c r="H56" s="34"/>
      <c r="I56" s="34"/>
      <c r="J56" s="34"/>
      <c r="K56" s="34"/>
      <c r="L56" s="34"/>
      <c r="M56" s="34"/>
      <c r="N56" s="34"/>
      <c r="O56" s="34"/>
      <c r="P56" s="34"/>
      <c r="Q56" s="35"/>
      <c r="R56" s="35"/>
      <c r="AA56" s="11"/>
    </row>
    <row r="57" spans="1:27" ht="9.9499999999999993" customHeight="1">
      <c r="B57" s="28"/>
      <c r="D57" s="26"/>
      <c r="E57" s="27"/>
      <c r="F57" s="34"/>
      <c r="G57" s="34"/>
      <c r="H57" s="34"/>
      <c r="I57" s="34"/>
      <c r="J57" s="34"/>
      <c r="K57" s="34"/>
      <c r="L57" s="34"/>
      <c r="M57" s="34"/>
      <c r="N57" s="34"/>
      <c r="O57" s="34"/>
      <c r="P57" s="34"/>
      <c r="Q57" s="35"/>
      <c r="R57" s="35"/>
      <c r="AA57" s="11"/>
    </row>
    <row r="58" spans="1:27" ht="9.9499999999999993" customHeight="1">
      <c r="B58" s="28"/>
      <c r="D58" s="26"/>
      <c r="E58" s="27"/>
      <c r="F58" s="34"/>
      <c r="G58" s="34"/>
      <c r="H58" s="34"/>
      <c r="I58" s="34"/>
      <c r="J58" s="34"/>
      <c r="K58" s="34"/>
      <c r="L58" s="34"/>
      <c r="M58" s="34"/>
      <c r="N58" s="34"/>
      <c r="O58" s="34"/>
      <c r="P58" s="34"/>
      <c r="Q58" s="35"/>
      <c r="R58" s="35"/>
      <c r="AA58" s="11"/>
    </row>
    <row r="59" spans="1:27" s="11" customFormat="1" ht="9.9499999999999993" customHeight="1">
      <c r="A59" s="23"/>
      <c r="B59" s="25"/>
      <c r="C59" s="23"/>
      <c r="D59" s="26"/>
      <c r="E59" s="27"/>
      <c r="F59" s="34"/>
      <c r="G59" s="34"/>
      <c r="H59" s="34"/>
      <c r="I59" s="34"/>
      <c r="J59" s="34"/>
      <c r="K59" s="34"/>
      <c r="L59" s="34"/>
      <c r="M59" s="34"/>
      <c r="N59" s="34"/>
      <c r="O59" s="34"/>
      <c r="P59" s="34"/>
      <c r="Q59" s="35"/>
      <c r="R59" s="35"/>
    </row>
    <row r="60" spans="1:27" ht="9.9499999999999993" customHeight="1">
      <c r="F60" s="35"/>
      <c r="G60" s="35"/>
      <c r="H60" s="35"/>
      <c r="I60" s="35"/>
      <c r="J60" s="35"/>
      <c r="K60" s="35"/>
      <c r="L60" s="35"/>
      <c r="M60" s="35"/>
      <c r="N60" s="35"/>
      <c r="O60" s="35"/>
      <c r="P60" s="35"/>
      <c r="Q60" s="35"/>
      <c r="R60" s="35"/>
      <c r="AA60" s="11"/>
    </row>
    <row r="61" spans="1:27" ht="9.9499999999999993" customHeight="1">
      <c r="F61" s="35"/>
      <c r="G61" s="35"/>
      <c r="H61" s="35"/>
      <c r="I61" s="35"/>
      <c r="J61" s="35"/>
      <c r="K61" s="35"/>
      <c r="L61" s="35"/>
      <c r="M61" s="35"/>
      <c r="N61" s="35"/>
      <c r="O61" s="35"/>
      <c r="P61" s="35"/>
      <c r="Q61" s="35"/>
      <c r="R61" s="35"/>
      <c r="AA61" s="11"/>
    </row>
    <row r="62" spans="1:27" ht="9.9499999999999993" customHeight="1">
      <c r="B62" s="25"/>
      <c r="D62" s="26"/>
      <c r="E62" s="27"/>
      <c r="F62" s="33"/>
      <c r="G62" s="33"/>
      <c r="H62" s="33"/>
      <c r="I62" s="33"/>
      <c r="J62" s="33"/>
      <c r="K62" s="33"/>
      <c r="L62" s="33"/>
      <c r="M62" s="33"/>
      <c r="N62" s="33"/>
      <c r="O62" s="33"/>
      <c r="P62" s="33"/>
      <c r="Q62" s="35"/>
      <c r="R62" s="35"/>
      <c r="AA62" s="11" t="s">
        <v>8</v>
      </c>
    </row>
    <row r="63" spans="1:27" ht="9.9499999999999993" customHeight="1">
      <c r="B63" s="25"/>
      <c r="D63" s="26"/>
      <c r="E63" s="27"/>
      <c r="F63" s="34"/>
      <c r="G63" s="34"/>
      <c r="H63" s="34"/>
      <c r="I63" s="34"/>
      <c r="J63" s="34"/>
      <c r="K63" s="34"/>
      <c r="L63" s="34"/>
      <c r="M63" s="34"/>
      <c r="N63" s="34"/>
      <c r="O63" s="34"/>
      <c r="P63" s="34"/>
      <c r="Q63" s="35"/>
      <c r="R63" s="35"/>
    </row>
    <row r="64" spans="1:27" ht="9.9499999999999993" customHeight="1">
      <c r="B64" s="25"/>
      <c r="D64" s="26"/>
      <c r="E64" s="27"/>
      <c r="F64" s="34"/>
      <c r="G64" s="34"/>
      <c r="H64" s="34"/>
      <c r="I64" s="34"/>
      <c r="J64" s="34"/>
      <c r="K64" s="34"/>
      <c r="L64" s="34"/>
      <c r="M64" s="34"/>
      <c r="N64" s="34"/>
      <c r="O64" s="34"/>
      <c r="P64" s="34"/>
      <c r="Q64" s="35"/>
      <c r="R64" s="35"/>
    </row>
    <row r="65" spans="2:27" ht="9.9499999999999993" customHeight="1">
      <c r="B65" s="25"/>
      <c r="D65" s="26"/>
      <c r="E65" s="27"/>
      <c r="F65" s="34"/>
      <c r="G65" s="34"/>
      <c r="H65" s="34"/>
      <c r="I65" s="34"/>
      <c r="J65" s="34"/>
      <c r="K65" s="34"/>
      <c r="L65" s="34"/>
      <c r="M65" s="34"/>
      <c r="N65" s="34"/>
      <c r="O65" s="34"/>
      <c r="P65" s="34"/>
      <c r="Q65" s="35"/>
      <c r="R65" s="35"/>
    </row>
    <row r="66" spans="2:27" ht="9.9499999999999993" customHeight="1">
      <c r="B66" s="25"/>
      <c r="D66" s="26"/>
      <c r="E66" s="27"/>
      <c r="F66" s="34"/>
      <c r="G66" s="34"/>
      <c r="H66" s="34"/>
      <c r="I66" s="34"/>
      <c r="J66" s="34"/>
      <c r="K66" s="34"/>
      <c r="L66" s="34"/>
      <c r="M66" s="34"/>
      <c r="N66" s="34"/>
      <c r="O66" s="34"/>
      <c r="P66" s="34"/>
      <c r="Q66" s="35"/>
      <c r="R66" s="35"/>
    </row>
    <row r="67" spans="2:27" ht="9.9499999999999993" customHeight="1">
      <c r="B67" s="25"/>
      <c r="D67" s="26"/>
      <c r="E67" s="27"/>
      <c r="F67" s="34"/>
      <c r="G67" s="34"/>
      <c r="H67" s="34"/>
      <c r="I67" s="34"/>
      <c r="J67" s="34"/>
      <c r="K67" s="34"/>
      <c r="L67" s="34"/>
      <c r="M67" s="34"/>
      <c r="N67" s="34"/>
      <c r="O67" s="34"/>
      <c r="P67" s="34"/>
      <c r="Q67" s="35"/>
      <c r="R67" s="35"/>
    </row>
    <row r="68" spans="2:27" ht="9.9499999999999993" customHeight="1">
      <c r="B68" s="25"/>
      <c r="D68" s="26"/>
      <c r="E68" s="27"/>
      <c r="F68" s="34"/>
      <c r="G68" s="34"/>
      <c r="H68" s="34"/>
      <c r="I68" s="34"/>
      <c r="J68" s="34"/>
      <c r="K68" s="34"/>
      <c r="L68" s="34"/>
      <c r="M68" s="34"/>
      <c r="N68" s="34"/>
      <c r="O68" s="34"/>
      <c r="P68" s="34"/>
      <c r="Q68" s="35"/>
      <c r="R68" s="35"/>
    </row>
    <row r="69" spans="2:27" ht="9.9499999999999993" customHeight="1">
      <c r="B69" s="28"/>
      <c r="D69" s="26"/>
      <c r="E69" s="27"/>
      <c r="F69" s="34"/>
      <c r="G69" s="34"/>
      <c r="H69" s="34"/>
      <c r="I69" s="34"/>
      <c r="J69" s="34"/>
      <c r="K69" s="34"/>
      <c r="L69" s="34"/>
      <c r="M69" s="34"/>
      <c r="N69" s="34"/>
      <c r="O69" s="34"/>
      <c r="P69" s="34"/>
      <c r="Q69" s="35"/>
      <c r="R69" s="35"/>
    </row>
    <row r="70" spans="2:27" ht="9.9499999999999993" customHeight="1">
      <c r="B70" s="28"/>
      <c r="D70" s="26"/>
      <c r="E70" s="27"/>
      <c r="F70" s="34"/>
      <c r="G70" s="34"/>
      <c r="H70" s="34"/>
      <c r="I70" s="34"/>
      <c r="J70" s="34"/>
      <c r="K70" s="34"/>
      <c r="L70" s="34"/>
      <c r="M70" s="34"/>
      <c r="N70" s="34"/>
      <c r="O70" s="34"/>
      <c r="P70" s="34"/>
      <c r="Q70" s="35"/>
      <c r="R70" s="35"/>
    </row>
    <row r="71" spans="2:27" ht="9.9499999999999993" customHeight="1">
      <c r="F71" s="44"/>
      <c r="G71" s="44"/>
      <c r="H71" s="44"/>
      <c r="I71" s="44"/>
      <c r="J71" s="44"/>
      <c r="K71" s="35"/>
      <c r="L71" s="35"/>
      <c r="M71" s="35"/>
      <c r="N71" s="35"/>
      <c r="O71" s="35"/>
      <c r="P71" s="35"/>
      <c r="Q71" s="35"/>
      <c r="R71" s="35"/>
      <c r="AA71" t="s">
        <v>9</v>
      </c>
    </row>
    <row r="72" spans="2:27" ht="9.9499999999999993" customHeight="1">
      <c r="F72" s="35"/>
      <c r="G72" s="35"/>
      <c r="H72" s="35"/>
      <c r="I72" s="35"/>
      <c r="J72" s="35"/>
      <c r="K72" s="35"/>
      <c r="L72" s="35"/>
      <c r="M72" s="35"/>
      <c r="N72" s="35"/>
      <c r="O72" s="35"/>
      <c r="P72" s="35"/>
      <c r="Q72" s="35"/>
      <c r="R72" s="35"/>
    </row>
    <row r="73" spans="2:27" ht="9.9499999999999993" customHeight="1">
      <c r="F73" s="35"/>
      <c r="G73" s="35"/>
      <c r="H73" s="35"/>
      <c r="I73" s="35"/>
      <c r="J73" s="35"/>
      <c r="K73" s="35"/>
      <c r="L73" s="35"/>
      <c r="M73" s="35"/>
      <c r="N73" s="35"/>
      <c r="O73" s="35"/>
      <c r="P73" s="35"/>
      <c r="Q73" s="35"/>
      <c r="R73" s="35"/>
    </row>
    <row r="74" spans="2:27" ht="9.9499999999999993" customHeight="1">
      <c r="F74" s="35"/>
      <c r="G74" s="35"/>
      <c r="H74" s="35"/>
      <c r="I74" s="35"/>
      <c r="J74" s="35"/>
      <c r="K74" s="35"/>
      <c r="L74" s="35"/>
      <c r="M74" s="35"/>
      <c r="N74" s="35"/>
      <c r="O74" s="35"/>
      <c r="P74" s="35"/>
      <c r="Q74" s="35"/>
      <c r="R74" s="35"/>
    </row>
    <row r="75" spans="2:27" ht="9.9499999999999993" customHeight="1">
      <c r="F75" s="35"/>
      <c r="G75" s="35"/>
      <c r="H75" s="35"/>
      <c r="I75" s="35"/>
      <c r="J75" s="35"/>
      <c r="K75" s="35"/>
      <c r="L75" s="35"/>
      <c r="M75" s="35"/>
      <c r="N75" s="35"/>
      <c r="O75" s="35"/>
      <c r="P75" s="35"/>
      <c r="Q75" s="35"/>
      <c r="R75" s="35"/>
    </row>
    <row r="76" spans="2:27" ht="9.9499999999999993" customHeight="1">
      <c r="F76" s="35"/>
      <c r="G76" s="35"/>
      <c r="H76" s="35"/>
      <c r="I76" s="35"/>
      <c r="J76" s="35"/>
      <c r="K76" s="35"/>
      <c r="L76" s="35"/>
      <c r="M76" s="35"/>
      <c r="N76" s="35"/>
      <c r="O76" s="35"/>
      <c r="P76" s="35"/>
      <c r="Q76" s="35"/>
      <c r="R76" s="35"/>
    </row>
    <row r="77" spans="2:27" ht="9.9499999999999993" customHeight="1">
      <c r="F77" s="35"/>
      <c r="G77" s="35"/>
      <c r="H77" s="35"/>
      <c r="I77" s="35"/>
      <c r="J77" s="35"/>
      <c r="K77" s="35"/>
      <c r="L77" s="35"/>
      <c r="M77" s="35"/>
      <c r="N77" s="35"/>
      <c r="O77" s="35"/>
      <c r="P77" s="35"/>
      <c r="Q77" s="35"/>
      <c r="R77" s="35"/>
    </row>
    <row r="78" spans="2:27" ht="9.9499999999999993" customHeight="1">
      <c r="F78" s="35"/>
      <c r="G78" s="35"/>
      <c r="H78" s="35"/>
      <c r="I78" s="35"/>
      <c r="J78" s="35"/>
      <c r="K78" s="35"/>
      <c r="L78" s="35"/>
      <c r="M78" s="35"/>
      <c r="N78" s="35"/>
      <c r="O78" s="35"/>
      <c r="P78" s="35"/>
      <c r="Q78" s="35"/>
      <c r="R78" s="35"/>
    </row>
    <row r="79" spans="2:27" ht="9.9499999999999993" customHeight="1">
      <c r="F79" s="35"/>
      <c r="G79" s="35"/>
      <c r="H79" s="35"/>
      <c r="I79" s="35"/>
      <c r="J79" s="35"/>
      <c r="K79" s="35"/>
      <c r="L79" s="35"/>
      <c r="M79" s="35"/>
      <c r="N79" s="35"/>
      <c r="O79" s="35"/>
      <c r="P79" s="35"/>
      <c r="Q79" s="35"/>
      <c r="R79" s="35"/>
    </row>
    <row r="80" spans="2:27" ht="9.9499999999999993" customHeight="1">
      <c r="F80" s="35"/>
      <c r="G80" s="35"/>
      <c r="H80" s="35"/>
      <c r="I80" s="35"/>
      <c r="J80" s="35"/>
      <c r="K80" s="35"/>
      <c r="L80" s="35"/>
      <c r="M80" s="35"/>
      <c r="N80" s="35"/>
      <c r="O80" s="35"/>
      <c r="P80" s="35"/>
      <c r="Q80" s="35"/>
      <c r="R80" s="35"/>
    </row>
    <row r="81" spans="6:18" ht="9.9499999999999993" customHeight="1">
      <c r="F81" s="35"/>
      <c r="G81" s="35"/>
      <c r="H81" s="35"/>
      <c r="I81" s="35"/>
      <c r="J81" s="35"/>
      <c r="K81" s="35"/>
      <c r="L81" s="35"/>
      <c r="M81" s="35"/>
      <c r="N81" s="35"/>
      <c r="O81" s="35"/>
      <c r="P81" s="35"/>
      <c r="Q81" s="35"/>
      <c r="R81" s="35"/>
    </row>
    <row r="82" spans="6:18" ht="9.9499999999999993" customHeight="1">
      <c r="F82" s="35"/>
      <c r="G82" s="35"/>
      <c r="H82" s="35"/>
      <c r="I82" s="35"/>
      <c r="J82" s="35"/>
      <c r="K82" s="35"/>
      <c r="L82" s="35"/>
      <c r="M82" s="35"/>
      <c r="N82" s="35"/>
      <c r="O82" s="35"/>
      <c r="P82" s="35"/>
      <c r="Q82" s="35"/>
      <c r="R82" s="35"/>
    </row>
    <row r="83" spans="6:18" ht="9.9499999999999993" customHeight="1">
      <c r="F83" s="35"/>
      <c r="G83" s="35"/>
      <c r="H83" s="35"/>
      <c r="I83" s="35"/>
      <c r="J83" s="35"/>
      <c r="K83" s="35"/>
      <c r="L83" s="35"/>
      <c r="M83" s="35"/>
      <c r="N83" s="35"/>
      <c r="O83" s="35"/>
      <c r="P83" s="35"/>
      <c r="Q83" s="35"/>
      <c r="R83" s="35"/>
    </row>
    <row r="84" spans="6:18" ht="9.9499999999999993" customHeight="1">
      <c r="F84" s="35"/>
      <c r="G84" s="35"/>
      <c r="H84" s="35"/>
      <c r="I84" s="35"/>
      <c r="J84" s="35"/>
      <c r="K84" s="35"/>
      <c r="L84" s="35"/>
      <c r="M84" s="35"/>
      <c r="N84" s="35"/>
      <c r="O84" s="35"/>
      <c r="P84" s="35"/>
      <c r="Q84" s="35"/>
      <c r="R84" s="35"/>
    </row>
    <row r="85" spans="6:18" ht="9.9499999999999993" customHeight="1">
      <c r="F85" s="35"/>
      <c r="G85" s="35"/>
      <c r="H85" s="35"/>
      <c r="I85" s="35"/>
      <c r="J85" s="35"/>
      <c r="K85" s="35"/>
      <c r="L85" s="35"/>
      <c r="M85" s="35"/>
      <c r="N85" s="35"/>
      <c r="O85" s="35"/>
      <c r="P85" s="35"/>
      <c r="Q85" s="35"/>
      <c r="R85" s="35"/>
    </row>
    <row r="86" spans="6:18" ht="9.9499999999999993" customHeight="1">
      <c r="F86" s="35"/>
      <c r="G86" s="35"/>
      <c r="H86" s="35"/>
      <c r="I86" s="35"/>
      <c r="J86" s="35"/>
      <c r="K86" s="35"/>
      <c r="L86" s="35"/>
      <c r="M86" s="35"/>
      <c r="N86" s="35"/>
      <c r="O86" s="35"/>
      <c r="P86" s="35"/>
      <c r="Q86" s="35"/>
      <c r="R86" s="35"/>
    </row>
    <row r="87" spans="6:18" ht="9.9499999999999993" customHeight="1">
      <c r="F87" s="35"/>
      <c r="G87" s="35"/>
      <c r="H87" s="35"/>
      <c r="I87" s="35"/>
      <c r="J87" s="35"/>
      <c r="K87" s="35"/>
      <c r="L87" s="35"/>
      <c r="M87" s="35"/>
      <c r="N87" s="35"/>
      <c r="O87" s="35"/>
      <c r="P87" s="35"/>
      <c r="Q87" s="35"/>
      <c r="R87" s="35"/>
    </row>
    <row r="88" spans="6:18" ht="9.9499999999999993" customHeight="1">
      <c r="F88" s="35"/>
      <c r="G88" s="35"/>
      <c r="H88" s="35"/>
      <c r="I88" s="35"/>
      <c r="J88" s="35"/>
      <c r="K88" s="35"/>
      <c r="L88" s="35"/>
      <c r="M88" s="35"/>
      <c r="N88" s="35"/>
      <c r="O88" s="35"/>
      <c r="P88" s="35"/>
      <c r="Q88" s="35"/>
      <c r="R88" s="35"/>
    </row>
    <row r="89" spans="6:18" ht="9.9499999999999993" customHeight="1">
      <c r="F89" s="35"/>
      <c r="G89" s="35"/>
      <c r="H89" s="35"/>
      <c r="I89" s="35"/>
      <c r="J89" s="35"/>
      <c r="K89" s="35"/>
      <c r="L89" s="35"/>
      <c r="M89" s="35"/>
      <c r="N89" s="35"/>
      <c r="O89" s="35"/>
      <c r="P89" s="35"/>
      <c r="Q89" s="35"/>
      <c r="R89" s="35"/>
    </row>
    <row r="90" spans="6:18" ht="9.9499999999999993" customHeight="1">
      <c r="F90" s="35"/>
      <c r="G90" s="35"/>
      <c r="H90" s="35"/>
      <c r="I90" s="35"/>
      <c r="J90" s="35"/>
      <c r="K90" s="35"/>
      <c r="L90" s="35"/>
      <c r="M90" s="35"/>
      <c r="N90" s="35"/>
      <c r="O90" s="35"/>
      <c r="P90" s="35"/>
      <c r="Q90" s="35"/>
      <c r="R90" s="35"/>
    </row>
    <row r="91" spans="6:18" ht="9.9499999999999993" customHeight="1">
      <c r="F91" s="35"/>
      <c r="G91" s="35"/>
      <c r="H91" s="35"/>
      <c r="I91" s="35"/>
      <c r="J91" s="35"/>
      <c r="K91" s="35"/>
      <c r="L91" s="35"/>
      <c r="M91" s="35"/>
      <c r="N91" s="35"/>
      <c r="O91" s="35"/>
      <c r="P91" s="35"/>
      <c r="Q91" s="35"/>
      <c r="R91" s="35"/>
    </row>
    <row r="92" spans="6:18" ht="9.9499999999999993" customHeight="1">
      <c r="F92" s="35"/>
      <c r="G92" s="35"/>
      <c r="H92" s="35"/>
      <c r="I92" s="35"/>
      <c r="J92" s="35"/>
      <c r="K92" s="35"/>
      <c r="L92" s="35"/>
      <c r="M92" s="35"/>
      <c r="N92" s="35"/>
      <c r="O92" s="35"/>
      <c r="P92" s="35"/>
      <c r="Q92" s="35"/>
      <c r="R92" s="35"/>
    </row>
    <row r="93" spans="6:18" ht="9.9499999999999993" customHeight="1">
      <c r="F93" s="35"/>
      <c r="G93" s="35"/>
      <c r="H93" s="35"/>
      <c r="I93" s="35"/>
      <c r="J93" s="35"/>
      <c r="K93" s="35"/>
      <c r="L93" s="35"/>
      <c r="M93" s="35"/>
      <c r="N93" s="35"/>
      <c r="O93" s="35"/>
      <c r="P93" s="35"/>
      <c r="Q93" s="35"/>
      <c r="R93" s="35"/>
    </row>
    <row r="94" spans="6:18" ht="9.9499999999999993" customHeight="1">
      <c r="F94" s="35"/>
      <c r="G94" s="35"/>
      <c r="H94" s="35"/>
      <c r="I94" s="35"/>
      <c r="J94" s="35"/>
      <c r="K94" s="35"/>
      <c r="L94" s="35"/>
      <c r="M94" s="35"/>
      <c r="N94" s="35"/>
      <c r="O94" s="35"/>
      <c r="P94" s="35"/>
      <c r="Q94" s="35"/>
      <c r="R94" s="35"/>
    </row>
    <row r="95" spans="6:18" ht="9.9499999999999993" customHeight="1">
      <c r="F95" s="35"/>
      <c r="G95" s="35"/>
      <c r="H95" s="35"/>
      <c r="I95" s="35"/>
      <c r="J95" s="35"/>
      <c r="K95" s="35"/>
      <c r="L95" s="35"/>
      <c r="M95" s="35"/>
      <c r="N95" s="35"/>
      <c r="O95" s="35"/>
      <c r="P95" s="35"/>
      <c r="Q95" s="35"/>
      <c r="R95" s="35"/>
    </row>
    <row r="96" spans="6:18" ht="9.9499999999999993" customHeight="1">
      <c r="F96" s="35"/>
      <c r="G96" s="35"/>
      <c r="H96" s="35"/>
      <c r="I96" s="35"/>
      <c r="J96" s="35"/>
      <c r="K96" s="35"/>
      <c r="L96" s="35"/>
      <c r="M96" s="35"/>
      <c r="N96" s="35"/>
      <c r="O96" s="35"/>
      <c r="P96" s="35"/>
      <c r="Q96" s="35"/>
      <c r="R96" s="35"/>
    </row>
    <row r="97" spans="1:27" ht="9.9499999999999993" customHeight="1">
      <c r="F97" s="35"/>
      <c r="G97" s="35"/>
      <c r="H97" s="35"/>
      <c r="I97" s="35"/>
      <c r="J97" s="35"/>
      <c r="K97" s="35"/>
      <c r="L97" s="35"/>
      <c r="M97" s="35"/>
      <c r="N97" s="35"/>
      <c r="O97" s="35"/>
      <c r="P97" s="35"/>
      <c r="Q97" s="35"/>
      <c r="R97" s="35"/>
    </row>
    <row r="98" spans="1:27" ht="9.9499999999999993" customHeight="1">
      <c r="F98" s="35"/>
      <c r="G98" s="35"/>
      <c r="H98" s="35"/>
      <c r="I98" s="35"/>
      <c r="J98" s="35"/>
      <c r="K98" s="35"/>
      <c r="L98" s="35"/>
      <c r="M98" s="35"/>
      <c r="N98" s="35"/>
      <c r="O98" s="35"/>
      <c r="P98" s="35"/>
      <c r="Q98" s="35"/>
      <c r="R98" s="35"/>
    </row>
    <row r="99" spans="1:27" ht="9.9499999999999993" customHeight="1">
      <c r="F99" s="35"/>
      <c r="G99" s="35"/>
      <c r="H99" s="35"/>
      <c r="I99" s="35"/>
      <c r="J99" s="35"/>
      <c r="K99" s="35"/>
      <c r="L99" s="35"/>
      <c r="M99" s="35"/>
      <c r="N99" s="35"/>
      <c r="O99" s="35"/>
      <c r="P99" s="35"/>
      <c r="Q99" s="35"/>
      <c r="R99" s="35"/>
    </row>
    <row r="100" spans="1:27" ht="9.9499999999999993" customHeight="1">
      <c r="F100" s="35"/>
      <c r="G100" s="35"/>
      <c r="H100" s="35"/>
      <c r="I100" s="35"/>
      <c r="J100" s="35"/>
      <c r="K100" s="35"/>
      <c r="L100" s="35"/>
      <c r="M100" s="35"/>
      <c r="N100" s="35"/>
      <c r="O100" s="35"/>
      <c r="P100" s="35"/>
      <c r="Q100" s="35"/>
      <c r="R100" s="35"/>
    </row>
    <row r="101" spans="1:27" s="11" customFormat="1" ht="9.9499999999999993" customHeight="1">
      <c r="A101" s="23"/>
      <c r="B101" s="23"/>
      <c r="C101" s="23"/>
      <c r="D101" s="24"/>
      <c r="E101" s="23"/>
      <c r="F101" s="35"/>
      <c r="G101" s="35"/>
      <c r="H101" s="35"/>
      <c r="I101" s="35"/>
      <c r="J101" s="35"/>
      <c r="K101" s="35"/>
      <c r="L101" s="35"/>
      <c r="M101" s="35"/>
      <c r="N101" s="35"/>
      <c r="O101" s="35"/>
      <c r="P101" s="35"/>
      <c r="Q101" s="35"/>
      <c r="R101" s="35"/>
      <c r="AA101" s="11" t="s">
        <v>7</v>
      </c>
    </row>
    <row r="102" spans="1:27" ht="9.9499999999999993" customHeight="1">
      <c r="F102" s="35"/>
      <c r="G102" s="35"/>
      <c r="H102" s="35"/>
      <c r="I102" s="35"/>
      <c r="J102" s="35"/>
      <c r="K102" s="35"/>
      <c r="L102" s="35"/>
      <c r="M102" s="35"/>
      <c r="N102" s="35"/>
      <c r="O102" s="35"/>
      <c r="P102" s="35"/>
      <c r="Q102" s="35"/>
      <c r="R102" s="35"/>
      <c r="AA102" s="11"/>
    </row>
    <row r="103" spans="1:27" ht="9.9499999999999993" customHeight="1">
      <c r="F103" s="35"/>
      <c r="G103" s="35"/>
      <c r="H103" s="35"/>
      <c r="I103" s="35"/>
      <c r="J103" s="35"/>
      <c r="K103" s="35"/>
      <c r="L103" s="35"/>
      <c r="M103" s="35"/>
      <c r="N103" s="35"/>
      <c r="O103" s="35"/>
      <c r="P103" s="35"/>
      <c r="Q103" s="35"/>
      <c r="R103" s="35"/>
      <c r="AA103" s="11"/>
    </row>
    <row r="104" spans="1:27" ht="9.9499999999999993" customHeight="1">
      <c r="B104" s="25"/>
      <c r="D104" s="26"/>
      <c r="E104" s="27"/>
      <c r="F104" s="33"/>
      <c r="G104" s="33"/>
      <c r="H104" s="33"/>
      <c r="I104" s="33"/>
      <c r="J104" s="33"/>
      <c r="K104" s="33"/>
      <c r="L104" s="33"/>
      <c r="M104" s="33"/>
      <c r="N104" s="33"/>
      <c r="O104" s="33"/>
      <c r="P104" s="33"/>
      <c r="Q104" s="35"/>
      <c r="R104" s="35"/>
      <c r="AA104" s="11" t="s">
        <v>8</v>
      </c>
    </row>
    <row r="105" spans="1:27" ht="9.9499999999999993" customHeight="1">
      <c r="B105" s="25"/>
      <c r="D105" s="26"/>
      <c r="E105" s="27"/>
      <c r="F105" s="34"/>
      <c r="G105" s="34"/>
      <c r="H105" s="34"/>
      <c r="I105" s="34"/>
      <c r="J105" s="34"/>
      <c r="K105" s="34"/>
      <c r="L105" s="34"/>
      <c r="M105" s="34"/>
      <c r="N105" s="34"/>
      <c r="O105" s="34"/>
      <c r="P105" s="34"/>
      <c r="Q105" s="35"/>
      <c r="R105" s="35"/>
      <c r="AA105" s="11"/>
    </row>
    <row r="106" spans="1:27" ht="9.9499999999999993" customHeight="1">
      <c r="B106" s="25"/>
      <c r="D106" s="26"/>
      <c r="E106" s="27"/>
      <c r="F106" s="34"/>
      <c r="G106" s="34"/>
      <c r="H106" s="34"/>
      <c r="I106" s="34"/>
      <c r="J106" s="34"/>
      <c r="K106" s="34"/>
      <c r="L106" s="34"/>
      <c r="M106" s="34"/>
      <c r="N106" s="34"/>
      <c r="O106" s="34"/>
      <c r="P106" s="34"/>
      <c r="Q106" s="35"/>
      <c r="R106" s="35"/>
      <c r="AA106" s="11"/>
    </row>
    <row r="107" spans="1:27" ht="9.9499999999999993" customHeight="1">
      <c r="B107" s="25"/>
      <c r="D107" s="26"/>
      <c r="E107" s="27"/>
      <c r="F107" s="34"/>
      <c r="G107" s="34"/>
      <c r="H107" s="34"/>
      <c r="I107" s="34"/>
      <c r="J107" s="34"/>
      <c r="K107" s="34"/>
      <c r="L107" s="34"/>
      <c r="M107" s="34"/>
      <c r="N107" s="34"/>
      <c r="O107" s="34"/>
      <c r="P107" s="34"/>
      <c r="Q107" s="35"/>
      <c r="R107" s="35"/>
      <c r="AA107" s="15"/>
    </row>
    <row r="108" spans="1:27" ht="9.9499999999999993" customHeight="1">
      <c r="B108" s="25"/>
      <c r="D108" s="26"/>
      <c r="E108" s="27"/>
      <c r="F108" s="34"/>
      <c r="G108" s="34"/>
      <c r="H108" s="34"/>
      <c r="I108" s="34"/>
      <c r="J108" s="34"/>
      <c r="K108" s="34"/>
      <c r="L108" s="34"/>
      <c r="M108" s="34"/>
      <c r="N108" s="34"/>
      <c r="O108" s="34"/>
      <c r="P108" s="34"/>
      <c r="Q108" s="35"/>
      <c r="R108" s="35"/>
      <c r="AA108" s="15"/>
    </row>
    <row r="109" spans="1:27" ht="9.9499999999999993" customHeight="1">
      <c r="B109" s="25"/>
      <c r="D109" s="26"/>
      <c r="E109" s="27"/>
      <c r="F109" s="34"/>
      <c r="G109" s="34"/>
      <c r="H109" s="34"/>
      <c r="I109" s="34"/>
      <c r="J109" s="34"/>
      <c r="K109" s="34"/>
      <c r="L109" s="34"/>
      <c r="M109" s="34"/>
      <c r="N109" s="34"/>
      <c r="O109" s="34"/>
      <c r="P109" s="34"/>
      <c r="Q109" s="35"/>
      <c r="R109" s="35"/>
      <c r="AA109" s="15"/>
    </row>
    <row r="110" spans="1:27" ht="9.9499999999999993" customHeight="1">
      <c r="B110" s="25"/>
      <c r="D110" s="26"/>
      <c r="E110" s="27"/>
      <c r="F110" s="34"/>
      <c r="G110" s="34"/>
      <c r="H110" s="34"/>
      <c r="I110" s="34"/>
      <c r="J110" s="34"/>
      <c r="K110" s="34"/>
      <c r="L110" s="34"/>
      <c r="M110" s="34"/>
      <c r="N110" s="34"/>
      <c r="O110" s="34"/>
      <c r="P110" s="34"/>
      <c r="Q110" s="35"/>
      <c r="R110" s="35"/>
      <c r="AA110" s="15"/>
    </row>
    <row r="111" spans="1:27" ht="9.9499999999999993" customHeight="1">
      <c r="B111" s="28"/>
      <c r="D111" s="26"/>
      <c r="E111" s="27"/>
      <c r="F111" s="34"/>
      <c r="G111" s="34"/>
      <c r="H111" s="34"/>
      <c r="I111" s="34"/>
      <c r="J111" s="34"/>
      <c r="K111" s="34"/>
      <c r="L111" s="34"/>
      <c r="M111" s="34"/>
      <c r="N111" s="34"/>
      <c r="O111" s="34"/>
      <c r="P111" s="34"/>
      <c r="Q111" s="35"/>
      <c r="R111" s="35"/>
      <c r="AA111" s="11"/>
    </row>
    <row r="112" spans="1:27" ht="9.9499999999999993" customHeight="1">
      <c r="B112" s="28"/>
      <c r="D112" s="26"/>
      <c r="E112" s="27"/>
      <c r="F112" s="34"/>
      <c r="G112" s="34"/>
      <c r="H112" s="34"/>
      <c r="I112" s="34"/>
      <c r="J112" s="34"/>
      <c r="K112" s="34"/>
      <c r="L112" s="34"/>
      <c r="M112" s="34"/>
      <c r="N112" s="34"/>
      <c r="O112" s="34"/>
      <c r="P112" s="34"/>
      <c r="Q112" s="35"/>
      <c r="R112" s="35"/>
      <c r="AA112" s="11"/>
    </row>
    <row r="113" spans="1:27" s="11" customFormat="1" ht="9.9499999999999993" customHeight="1">
      <c r="A113" s="23"/>
      <c r="B113" s="25"/>
      <c r="C113" s="23"/>
      <c r="D113" s="26"/>
      <c r="E113" s="27"/>
      <c r="F113" s="34"/>
      <c r="G113" s="34"/>
      <c r="H113" s="34"/>
      <c r="I113" s="34"/>
      <c r="J113" s="34"/>
      <c r="K113" s="34"/>
      <c r="L113" s="34"/>
      <c r="M113" s="34"/>
      <c r="N113" s="34"/>
      <c r="O113" s="34"/>
      <c r="P113" s="34"/>
      <c r="Q113" s="35"/>
      <c r="R113" s="35"/>
    </row>
    <row r="114" spans="1:27" ht="9.9499999999999993" customHeight="1">
      <c r="F114" s="35"/>
      <c r="G114" s="35"/>
      <c r="H114" s="35"/>
      <c r="I114" s="35"/>
      <c r="J114" s="35"/>
      <c r="K114" s="35"/>
      <c r="L114" s="35"/>
      <c r="M114" s="35"/>
      <c r="N114" s="35"/>
      <c r="O114" s="35"/>
      <c r="P114" s="35"/>
      <c r="Q114" s="35"/>
      <c r="R114" s="35"/>
    </row>
    <row r="115" spans="1:27" ht="9.9499999999999993" customHeight="1">
      <c r="F115" s="35"/>
      <c r="G115" s="35"/>
      <c r="H115" s="35"/>
      <c r="I115" s="35"/>
      <c r="J115" s="35"/>
      <c r="K115" s="35"/>
      <c r="L115" s="35"/>
      <c r="M115" s="35"/>
      <c r="N115" s="35"/>
      <c r="O115" s="35"/>
      <c r="P115" s="35"/>
      <c r="Q115" s="35"/>
      <c r="R115" s="35"/>
    </row>
    <row r="116" spans="1:27" ht="9.9499999999999993" customHeight="1">
      <c r="B116" s="25"/>
      <c r="D116" s="26"/>
      <c r="E116" s="27"/>
      <c r="F116" s="33"/>
      <c r="G116" s="33"/>
      <c r="H116" s="33"/>
      <c r="I116" s="33"/>
      <c r="J116" s="33"/>
      <c r="K116" s="33"/>
      <c r="L116" s="33"/>
      <c r="M116" s="33"/>
      <c r="N116" s="33"/>
      <c r="O116" s="33"/>
      <c r="P116" s="33"/>
      <c r="Q116" s="35"/>
      <c r="R116" s="35"/>
      <c r="T116" s="11"/>
      <c r="U116" s="11"/>
      <c r="V116" s="11"/>
      <c r="W116" s="11"/>
      <c r="X116" s="11"/>
      <c r="Y116" s="11"/>
      <c r="Z116" s="11"/>
      <c r="AA116" s="11" t="s">
        <v>8</v>
      </c>
    </row>
    <row r="117" spans="1:27" ht="9.9499999999999993" customHeight="1">
      <c r="B117" s="25"/>
      <c r="D117" s="26"/>
      <c r="E117" s="27"/>
      <c r="F117" s="34"/>
      <c r="G117" s="34"/>
      <c r="H117" s="34"/>
      <c r="I117" s="34"/>
      <c r="J117" s="34"/>
      <c r="K117" s="34"/>
      <c r="L117" s="34"/>
      <c r="M117" s="34"/>
      <c r="N117" s="34"/>
      <c r="O117" s="34"/>
      <c r="P117" s="34"/>
      <c r="Q117" s="35"/>
      <c r="R117" s="35"/>
      <c r="T117" s="11"/>
      <c r="U117" s="11"/>
      <c r="V117" s="11"/>
      <c r="W117" s="11"/>
      <c r="X117" s="11"/>
      <c r="Y117" s="11"/>
      <c r="Z117" s="11"/>
      <c r="AA117" s="11"/>
    </row>
    <row r="118" spans="1:27" ht="9.9499999999999993" customHeight="1">
      <c r="B118" s="25"/>
      <c r="D118" s="26"/>
      <c r="E118" s="27"/>
      <c r="F118" s="34"/>
      <c r="G118" s="34"/>
      <c r="H118" s="34"/>
      <c r="I118" s="34"/>
      <c r="J118" s="34"/>
      <c r="K118" s="34"/>
      <c r="L118" s="34"/>
      <c r="M118" s="34"/>
      <c r="N118" s="34"/>
      <c r="O118" s="34"/>
      <c r="P118" s="34"/>
      <c r="Q118" s="35"/>
      <c r="R118" s="35"/>
      <c r="T118" s="11"/>
      <c r="U118" s="11"/>
      <c r="V118" s="11"/>
      <c r="W118" s="11"/>
      <c r="X118" s="11"/>
      <c r="Y118" s="11"/>
      <c r="Z118" s="11"/>
      <c r="AA118" s="11"/>
    </row>
    <row r="119" spans="1:27" ht="9.9499999999999993" customHeight="1">
      <c r="B119" s="25"/>
      <c r="D119" s="26"/>
      <c r="E119" s="27"/>
      <c r="F119" s="34"/>
      <c r="G119" s="34"/>
      <c r="H119" s="34"/>
      <c r="I119" s="34"/>
      <c r="J119" s="34"/>
      <c r="K119" s="34"/>
      <c r="L119" s="34"/>
      <c r="M119" s="34"/>
      <c r="N119" s="34"/>
      <c r="O119" s="34"/>
      <c r="P119" s="34"/>
      <c r="Q119" s="35"/>
      <c r="R119" s="35"/>
      <c r="T119" s="11"/>
      <c r="U119" s="11"/>
      <c r="V119" s="11"/>
      <c r="W119" s="11"/>
      <c r="X119" s="11"/>
      <c r="Y119" s="11"/>
      <c r="Z119" s="11"/>
      <c r="AA119" s="11"/>
    </row>
    <row r="120" spans="1:27" ht="9.9499999999999993" customHeight="1">
      <c r="B120" s="25"/>
      <c r="D120" s="26"/>
      <c r="E120" s="27"/>
      <c r="F120" s="34"/>
      <c r="G120" s="34"/>
      <c r="H120" s="34"/>
      <c r="I120" s="34"/>
      <c r="J120" s="34"/>
      <c r="K120" s="34"/>
      <c r="L120" s="34"/>
      <c r="M120" s="34"/>
      <c r="N120" s="34"/>
      <c r="O120" s="34"/>
      <c r="P120" s="34"/>
      <c r="Q120" s="35"/>
      <c r="R120" s="35"/>
      <c r="T120" s="11"/>
      <c r="U120" s="11"/>
      <c r="V120" s="11"/>
      <c r="W120" s="11"/>
      <c r="X120" s="11"/>
      <c r="Y120" s="11"/>
      <c r="Z120" s="11"/>
      <c r="AA120" s="11"/>
    </row>
    <row r="121" spans="1:27" ht="9.9499999999999993" customHeight="1">
      <c r="B121" s="25"/>
      <c r="D121" s="26"/>
      <c r="E121" s="27"/>
      <c r="F121" s="34"/>
      <c r="G121" s="34"/>
      <c r="H121" s="34"/>
      <c r="I121" s="34"/>
      <c r="J121" s="34"/>
      <c r="K121" s="34"/>
      <c r="L121" s="34"/>
      <c r="M121" s="34"/>
      <c r="N121" s="34"/>
      <c r="O121" s="34"/>
      <c r="P121" s="34"/>
      <c r="Q121" s="35"/>
      <c r="R121" s="35"/>
      <c r="T121" s="11"/>
      <c r="U121" s="11"/>
      <c r="V121" s="11"/>
      <c r="W121" s="11"/>
      <c r="X121" s="11"/>
      <c r="Y121" s="11"/>
      <c r="Z121" s="11"/>
      <c r="AA121" s="11"/>
    </row>
    <row r="122" spans="1:27" ht="9.9499999999999993" customHeight="1">
      <c r="B122" s="25"/>
      <c r="D122" s="26"/>
      <c r="E122" s="27"/>
      <c r="F122" s="34"/>
      <c r="G122" s="34"/>
      <c r="H122" s="34"/>
      <c r="I122" s="34"/>
      <c r="J122" s="34"/>
      <c r="K122" s="34"/>
      <c r="L122" s="34"/>
      <c r="M122" s="34"/>
      <c r="N122" s="34"/>
      <c r="O122" s="34"/>
      <c r="P122" s="34"/>
      <c r="Q122" s="35"/>
      <c r="R122" s="35"/>
      <c r="T122" s="11"/>
      <c r="U122" s="11"/>
      <c r="V122" s="11"/>
      <c r="W122" s="11"/>
      <c r="X122" s="11"/>
      <c r="Y122" s="11"/>
      <c r="Z122" s="11"/>
      <c r="AA122" s="11"/>
    </row>
    <row r="123" spans="1:27" ht="9.9499999999999993" customHeight="1">
      <c r="B123" s="28"/>
      <c r="D123" s="26"/>
      <c r="E123" s="27"/>
      <c r="F123" s="34"/>
      <c r="G123" s="34"/>
      <c r="H123" s="34"/>
      <c r="I123" s="34"/>
      <c r="J123" s="34"/>
      <c r="K123" s="34"/>
      <c r="L123" s="34"/>
      <c r="M123" s="34"/>
      <c r="N123" s="34"/>
      <c r="O123" s="34"/>
      <c r="P123" s="34"/>
      <c r="Q123" s="35"/>
      <c r="R123" s="35"/>
      <c r="T123" s="11"/>
      <c r="U123" s="11"/>
      <c r="V123" s="11"/>
      <c r="W123" s="11"/>
      <c r="X123" s="11"/>
      <c r="Y123" s="11"/>
      <c r="Z123" s="11"/>
      <c r="AA123" s="11"/>
    </row>
    <row r="124" spans="1:27" ht="9.9499999999999993" customHeight="1">
      <c r="B124" s="28"/>
      <c r="D124" s="26"/>
      <c r="E124" s="27"/>
      <c r="F124" s="34"/>
      <c r="G124" s="34"/>
      <c r="H124" s="34"/>
      <c r="I124" s="34"/>
      <c r="J124" s="34"/>
      <c r="K124" s="34"/>
      <c r="L124" s="34"/>
      <c r="M124" s="34"/>
      <c r="N124" s="34"/>
      <c r="O124" s="34"/>
      <c r="P124" s="34"/>
      <c r="Q124" s="35"/>
      <c r="R124" s="35"/>
      <c r="T124" s="11"/>
      <c r="U124" s="11"/>
      <c r="V124" s="11"/>
      <c r="W124" s="11"/>
      <c r="X124" s="11"/>
      <c r="Y124" s="11"/>
      <c r="Z124" s="11"/>
      <c r="AA124" s="11"/>
    </row>
    <row r="125" spans="1:27" s="11" customFormat="1" ht="9.9499999999999993" customHeight="1">
      <c r="A125" s="23"/>
      <c r="B125" s="25"/>
      <c r="C125" s="23"/>
      <c r="D125" s="26"/>
      <c r="E125" s="27"/>
      <c r="F125" s="34"/>
      <c r="G125" s="34"/>
      <c r="H125" s="34"/>
      <c r="I125" s="34"/>
      <c r="J125" s="34"/>
      <c r="K125" s="34"/>
      <c r="L125" s="34"/>
      <c r="M125" s="34"/>
      <c r="N125" s="34"/>
      <c r="O125" s="34"/>
      <c r="P125" s="34"/>
      <c r="Q125" s="35"/>
      <c r="R125" s="35"/>
    </row>
    <row r="126" spans="1:27" ht="9.9499999999999993" customHeight="1">
      <c r="F126" s="35"/>
      <c r="G126" s="35"/>
      <c r="H126" s="35"/>
      <c r="I126" s="35"/>
      <c r="J126" s="35"/>
      <c r="K126" s="35"/>
      <c r="L126" s="35"/>
      <c r="M126" s="35"/>
      <c r="N126" s="35"/>
      <c r="O126" s="35"/>
      <c r="P126" s="35"/>
      <c r="Q126" s="35"/>
      <c r="R126" s="35"/>
    </row>
    <row r="127" spans="1:27" ht="9.9499999999999993" customHeight="1">
      <c r="F127" s="35"/>
      <c r="G127" s="35"/>
      <c r="H127" s="35"/>
      <c r="I127" s="35"/>
      <c r="J127" s="35"/>
      <c r="K127" s="35"/>
      <c r="L127" s="35"/>
      <c r="M127" s="35"/>
      <c r="N127" s="35"/>
      <c r="O127" s="35"/>
      <c r="P127" s="35"/>
      <c r="Q127" s="35"/>
      <c r="R127" s="35"/>
    </row>
    <row r="128" spans="1:27" ht="9.9499999999999993" customHeight="1">
      <c r="B128" s="25"/>
      <c r="D128" s="26"/>
      <c r="E128" s="27"/>
      <c r="F128" s="33"/>
      <c r="G128" s="33"/>
      <c r="H128" s="33"/>
      <c r="I128" s="33"/>
      <c r="J128" s="33"/>
      <c r="K128" s="33"/>
      <c r="L128" s="33"/>
      <c r="M128" s="33"/>
      <c r="N128" s="33"/>
      <c r="O128" s="33"/>
      <c r="P128" s="33"/>
      <c r="Q128" s="35"/>
      <c r="R128" s="35"/>
      <c r="AA128" s="11" t="s">
        <v>8</v>
      </c>
    </row>
    <row r="129" spans="1:27" ht="9.9499999999999993" customHeight="1">
      <c r="B129" s="25"/>
      <c r="D129" s="26"/>
      <c r="E129" s="27"/>
      <c r="F129" s="34"/>
      <c r="G129" s="34"/>
      <c r="H129" s="34"/>
      <c r="I129" s="34"/>
      <c r="J129" s="34"/>
      <c r="K129" s="34"/>
      <c r="L129" s="34"/>
      <c r="M129" s="34"/>
      <c r="N129" s="34"/>
      <c r="O129" s="34"/>
      <c r="P129" s="34"/>
      <c r="Q129" s="35"/>
      <c r="R129" s="35"/>
      <c r="AA129" s="11"/>
    </row>
    <row r="130" spans="1:27" ht="9.9499999999999993" customHeight="1">
      <c r="B130" s="25"/>
      <c r="D130" s="26"/>
      <c r="E130" s="27"/>
      <c r="F130" s="34"/>
      <c r="G130" s="34"/>
      <c r="H130" s="34"/>
      <c r="I130" s="34"/>
      <c r="J130" s="34"/>
      <c r="K130" s="34"/>
      <c r="L130" s="34"/>
      <c r="M130" s="34"/>
      <c r="N130" s="34"/>
      <c r="O130" s="34"/>
      <c r="P130" s="34"/>
      <c r="Q130" s="35"/>
      <c r="R130" s="35"/>
      <c r="AA130" s="11"/>
    </row>
    <row r="131" spans="1:27" ht="9.9499999999999993" customHeight="1">
      <c r="B131" s="25"/>
      <c r="D131" s="26"/>
      <c r="E131" s="27"/>
      <c r="F131" s="34"/>
      <c r="G131" s="34"/>
      <c r="H131" s="34"/>
      <c r="I131" s="34"/>
      <c r="J131" s="34"/>
      <c r="K131" s="34"/>
      <c r="L131" s="34"/>
      <c r="M131" s="34"/>
      <c r="N131" s="34"/>
      <c r="O131" s="34"/>
      <c r="P131" s="34"/>
      <c r="Q131" s="35"/>
      <c r="R131" s="35"/>
      <c r="AA131" s="11"/>
    </row>
    <row r="132" spans="1:27" ht="9.9499999999999993" customHeight="1">
      <c r="B132" s="25"/>
      <c r="D132" s="26"/>
      <c r="E132" s="27"/>
      <c r="F132" s="34"/>
      <c r="G132" s="34"/>
      <c r="H132" s="34"/>
      <c r="I132" s="34"/>
      <c r="J132" s="34"/>
      <c r="K132" s="34"/>
      <c r="L132" s="34"/>
      <c r="M132" s="34"/>
      <c r="N132" s="34"/>
      <c r="O132" s="34"/>
      <c r="P132" s="34"/>
      <c r="Q132" s="35"/>
      <c r="R132" s="35"/>
      <c r="AA132" s="11"/>
    </row>
    <row r="133" spans="1:27" ht="9.9499999999999993" customHeight="1">
      <c r="B133" s="25"/>
      <c r="D133" s="26"/>
      <c r="E133" s="27"/>
      <c r="F133" s="34"/>
      <c r="G133" s="34"/>
      <c r="H133" s="34"/>
      <c r="I133" s="34"/>
      <c r="J133" s="34"/>
      <c r="K133" s="34"/>
      <c r="L133" s="34"/>
      <c r="M133" s="34"/>
      <c r="N133" s="34"/>
      <c r="O133" s="34"/>
      <c r="P133" s="34"/>
      <c r="Q133" s="35"/>
      <c r="R133" s="35"/>
      <c r="AA133" s="11"/>
    </row>
    <row r="134" spans="1:27" ht="9.9499999999999993" customHeight="1">
      <c r="B134" s="25"/>
      <c r="D134" s="26"/>
      <c r="E134" s="27"/>
      <c r="F134" s="34"/>
      <c r="G134" s="34"/>
      <c r="H134" s="34"/>
      <c r="I134" s="34"/>
      <c r="J134" s="34"/>
      <c r="K134" s="34"/>
      <c r="L134" s="34"/>
      <c r="M134" s="34"/>
      <c r="N134" s="34"/>
      <c r="O134" s="34"/>
      <c r="P134" s="34"/>
      <c r="Q134" s="35"/>
      <c r="R134" s="35"/>
      <c r="AA134" s="11"/>
    </row>
    <row r="135" spans="1:27" ht="9.9499999999999993" customHeight="1">
      <c r="B135" s="28"/>
      <c r="D135" s="26"/>
      <c r="E135" s="27"/>
      <c r="F135" s="34"/>
      <c r="G135" s="34"/>
      <c r="H135" s="34"/>
      <c r="I135" s="34"/>
      <c r="J135" s="34"/>
      <c r="K135" s="34"/>
      <c r="L135" s="34"/>
      <c r="M135" s="34"/>
      <c r="N135" s="34"/>
      <c r="O135" s="34"/>
      <c r="P135" s="34"/>
      <c r="Q135" s="35"/>
      <c r="R135" s="35"/>
      <c r="AA135" s="11"/>
    </row>
    <row r="136" spans="1:27" ht="9.9499999999999993" customHeight="1">
      <c r="B136" s="28"/>
      <c r="D136" s="26"/>
      <c r="E136" s="27"/>
      <c r="F136" s="34"/>
      <c r="G136" s="34"/>
      <c r="H136" s="34"/>
      <c r="I136" s="34"/>
      <c r="J136" s="34"/>
      <c r="K136" s="34"/>
      <c r="L136" s="34"/>
      <c r="M136" s="34"/>
      <c r="N136" s="34"/>
      <c r="O136" s="34"/>
      <c r="P136" s="34"/>
      <c r="Q136" s="35"/>
      <c r="R136" s="35"/>
      <c r="AA136" s="11"/>
    </row>
    <row r="137" spans="1:27" s="11" customFormat="1" ht="9.9499999999999993" customHeight="1">
      <c r="A137" s="23"/>
      <c r="B137" s="25"/>
      <c r="C137" s="23"/>
      <c r="D137" s="26"/>
      <c r="E137" s="27"/>
      <c r="F137" s="34"/>
      <c r="G137" s="34"/>
      <c r="H137" s="34"/>
      <c r="I137" s="34"/>
      <c r="J137" s="34"/>
      <c r="K137" s="34"/>
      <c r="L137" s="34"/>
      <c r="M137" s="34"/>
      <c r="N137" s="34"/>
      <c r="O137" s="34"/>
      <c r="P137" s="34"/>
      <c r="Q137" s="35"/>
      <c r="R137" s="35"/>
    </row>
    <row r="138" spans="1:27" ht="9.9499999999999993" customHeight="1">
      <c r="F138" s="35"/>
      <c r="G138" s="35"/>
      <c r="H138" s="35"/>
      <c r="I138" s="35"/>
      <c r="J138" s="35"/>
      <c r="K138" s="35"/>
      <c r="L138" s="35"/>
      <c r="M138" s="35"/>
      <c r="N138" s="35"/>
      <c r="O138" s="35"/>
      <c r="P138" s="35"/>
      <c r="Q138" s="35"/>
      <c r="R138" s="35"/>
      <c r="AA138" s="11"/>
    </row>
    <row r="139" spans="1:27" ht="9.9499999999999993" customHeight="1">
      <c r="F139" s="35"/>
      <c r="G139" s="35"/>
      <c r="H139" s="35"/>
      <c r="I139" s="35"/>
      <c r="J139" s="35"/>
      <c r="K139" s="35"/>
      <c r="L139" s="35"/>
      <c r="M139" s="35"/>
      <c r="N139" s="35"/>
      <c r="O139" s="35"/>
      <c r="P139" s="35"/>
      <c r="Q139" s="35"/>
      <c r="R139" s="35"/>
      <c r="AA139" s="11"/>
    </row>
    <row r="140" spans="1:27" ht="9.9499999999999993" customHeight="1">
      <c r="B140" s="25"/>
      <c r="D140" s="26"/>
      <c r="E140" s="27"/>
      <c r="F140" s="33"/>
      <c r="G140" s="33"/>
      <c r="H140" s="33"/>
      <c r="I140" s="33"/>
      <c r="J140" s="33"/>
      <c r="K140" s="33"/>
      <c r="L140" s="33"/>
      <c r="M140" s="33"/>
      <c r="N140" s="33"/>
      <c r="O140" s="33"/>
      <c r="P140" s="33"/>
      <c r="Q140" s="35"/>
      <c r="R140" s="35"/>
      <c r="AA140" s="11" t="s">
        <v>8</v>
      </c>
    </row>
    <row r="141" spans="1:27" ht="9.9499999999999993" customHeight="1">
      <c r="B141" s="25"/>
      <c r="D141" s="26"/>
      <c r="E141" s="27"/>
      <c r="F141" s="34"/>
      <c r="G141" s="34"/>
      <c r="H141" s="34"/>
      <c r="I141" s="34"/>
      <c r="J141" s="34"/>
      <c r="K141" s="34"/>
      <c r="L141" s="34"/>
      <c r="M141" s="34"/>
      <c r="N141" s="34"/>
      <c r="O141" s="34"/>
      <c r="P141" s="34"/>
      <c r="Q141" s="35"/>
      <c r="R141" s="35"/>
      <c r="AA141" s="11"/>
    </row>
    <row r="142" spans="1:27" ht="9.9499999999999993" customHeight="1">
      <c r="B142" s="25"/>
      <c r="D142" s="26"/>
      <c r="E142" s="27"/>
      <c r="F142" s="34"/>
      <c r="G142" s="34"/>
      <c r="H142" s="34"/>
      <c r="I142" s="34"/>
      <c r="J142" s="34"/>
      <c r="K142" s="34"/>
      <c r="L142" s="34"/>
      <c r="M142" s="34"/>
      <c r="N142" s="34"/>
      <c r="O142" s="34"/>
      <c r="P142" s="34"/>
      <c r="Q142" s="35"/>
      <c r="R142" s="35"/>
      <c r="AA142" s="11"/>
    </row>
    <row r="143" spans="1:27" ht="9.9499999999999993" customHeight="1">
      <c r="B143" s="25"/>
      <c r="D143" s="26"/>
      <c r="E143" s="27"/>
      <c r="F143" s="34"/>
      <c r="G143" s="34"/>
      <c r="H143" s="34"/>
      <c r="I143" s="34"/>
      <c r="J143" s="34"/>
      <c r="K143" s="34"/>
      <c r="L143" s="34"/>
      <c r="M143" s="34"/>
      <c r="N143" s="34"/>
      <c r="O143" s="34"/>
      <c r="P143" s="34"/>
      <c r="Q143" s="35"/>
      <c r="R143" s="35"/>
      <c r="AA143" s="11"/>
    </row>
    <row r="144" spans="1:27" ht="9.9499999999999993" customHeight="1">
      <c r="B144" s="25"/>
      <c r="D144" s="26"/>
      <c r="E144" s="27"/>
      <c r="F144" s="34"/>
      <c r="G144" s="34"/>
      <c r="H144" s="34"/>
      <c r="I144" s="34"/>
      <c r="J144" s="34"/>
      <c r="K144" s="34"/>
      <c r="L144" s="34"/>
      <c r="M144" s="34"/>
      <c r="N144" s="34"/>
      <c r="O144" s="34"/>
      <c r="P144" s="34"/>
      <c r="Q144" s="35"/>
      <c r="R144" s="35"/>
      <c r="AA144" s="11"/>
    </row>
    <row r="145" spans="1:27" ht="9.9499999999999993" customHeight="1">
      <c r="B145" s="25"/>
      <c r="D145" s="26"/>
      <c r="E145" s="27"/>
      <c r="F145" s="34"/>
      <c r="G145" s="34"/>
      <c r="H145" s="34"/>
      <c r="I145" s="34"/>
      <c r="J145" s="34"/>
      <c r="K145" s="34"/>
      <c r="L145" s="34"/>
      <c r="M145" s="34"/>
      <c r="N145" s="34"/>
      <c r="O145" s="34"/>
      <c r="P145" s="34"/>
      <c r="Q145" s="35"/>
      <c r="R145" s="35"/>
      <c r="AA145" s="11"/>
    </row>
    <row r="146" spans="1:27" ht="9.9499999999999993" customHeight="1">
      <c r="B146" s="25"/>
      <c r="D146" s="26"/>
      <c r="E146" s="27"/>
      <c r="F146" s="34"/>
      <c r="G146" s="34"/>
      <c r="H146" s="34"/>
      <c r="I146" s="34"/>
      <c r="J146" s="34"/>
      <c r="K146" s="34"/>
      <c r="L146" s="34"/>
      <c r="M146" s="34"/>
      <c r="N146" s="34"/>
      <c r="O146" s="34"/>
      <c r="P146" s="34"/>
      <c r="Q146" s="35"/>
      <c r="R146" s="35"/>
      <c r="AA146" s="11"/>
    </row>
    <row r="147" spans="1:27" ht="9.9499999999999993" customHeight="1">
      <c r="B147" s="28"/>
      <c r="D147" s="26"/>
      <c r="E147" s="27"/>
      <c r="F147" s="34"/>
      <c r="G147" s="34"/>
      <c r="H147" s="34"/>
      <c r="I147" s="34"/>
      <c r="J147" s="34"/>
      <c r="K147" s="34"/>
      <c r="L147" s="34"/>
      <c r="M147" s="34"/>
      <c r="N147" s="34"/>
      <c r="O147" s="34"/>
      <c r="P147" s="34"/>
      <c r="Q147" s="35"/>
      <c r="R147" s="35"/>
      <c r="AA147" s="11"/>
    </row>
    <row r="148" spans="1:27" ht="9.9499999999999993" customHeight="1">
      <c r="B148" s="28"/>
      <c r="D148" s="26"/>
      <c r="E148" s="27"/>
      <c r="F148" s="34"/>
      <c r="G148" s="34"/>
      <c r="H148" s="34"/>
      <c r="I148" s="34"/>
      <c r="J148" s="34"/>
      <c r="K148" s="34"/>
      <c r="L148" s="34"/>
      <c r="M148" s="34"/>
      <c r="N148" s="34"/>
      <c r="O148" s="34"/>
      <c r="P148" s="34"/>
      <c r="Q148" s="35"/>
      <c r="R148" s="35"/>
      <c r="AA148" s="11"/>
    </row>
    <row r="149" spans="1:27" s="11" customFormat="1" ht="9.9499999999999993" customHeight="1">
      <c r="A149" s="23"/>
      <c r="B149" s="25"/>
      <c r="C149" s="23"/>
      <c r="D149" s="26"/>
      <c r="E149" s="27"/>
      <c r="F149" s="34"/>
      <c r="G149" s="34"/>
      <c r="H149" s="34"/>
      <c r="I149" s="34"/>
      <c r="J149" s="34"/>
      <c r="K149" s="34"/>
      <c r="L149" s="34"/>
      <c r="M149" s="34"/>
      <c r="N149" s="34"/>
      <c r="O149" s="34"/>
      <c r="P149" s="34"/>
      <c r="Q149" s="35"/>
      <c r="R149" s="35"/>
    </row>
    <row r="150" spans="1:27" ht="9.9499999999999993" customHeight="1">
      <c r="F150" s="35"/>
      <c r="G150" s="35"/>
      <c r="H150" s="35"/>
      <c r="I150" s="35"/>
      <c r="J150" s="35"/>
      <c r="K150" s="35"/>
      <c r="L150" s="35"/>
      <c r="M150" s="35"/>
      <c r="N150" s="35"/>
      <c r="O150" s="35"/>
      <c r="P150" s="35"/>
      <c r="Q150" s="35"/>
      <c r="R150" s="35"/>
      <c r="AA150" s="11"/>
    </row>
    <row r="151" spans="1:27" ht="9.9499999999999993" customHeight="1">
      <c r="F151" s="35"/>
      <c r="G151" s="35"/>
      <c r="H151" s="35"/>
      <c r="I151" s="35"/>
      <c r="J151" s="35"/>
      <c r="K151" s="35"/>
      <c r="L151" s="35"/>
      <c r="M151" s="35"/>
      <c r="N151" s="35"/>
      <c r="O151" s="35"/>
      <c r="P151" s="35"/>
      <c r="Q151" s="35"/>
      <c r="R151" s="35"/>
      <c r="AA151" s="11"/>
    </row>
    <row r="152" spans="1:27" ht="9.9499999999999993" customHeight="1">
      <c r="B152" s="25"/>
      <c r="D152" s="26"/>
      <c r="E152" s="27"/>
      <c r="F152" s="33"/>
      <c r="G152" s="33"/>
      <c r="H152" s="33"/>
      <c r="I152" s="33"/>
      <c r="J152" s="33"/>
      <c r="K152" s="33"/>
      <c r="L152" s="33"/>
      <c r="M152" s="33"/>
      <c r="N152" s="33"/>
      <c r="O152" s="33"/>
      <c r="P152" s="33"/>
      <c r="Q152" s="35"/>
      <c r="R152" s="35"/>
      <c r="AA152" s="11" t="s">
        <v>8</v>
      </c>
    </row>
    <row r="153" spans="1:27" ht="9.9499999999999993" customHeight="1">
      <c r="B153" s="25"/>
      <c r="D153" s="26"/>
      <c r="E153" s="27"/>
      <c r="F153" s="34"/>
      <c r="G153" s="34"/>
      <c r="H153" s="34"/>
      <c r="I153" s="34"/>
      <c r="J153" s="34"/>
      <c r="K153" s="34"/>
      <c r="L153" s="34"/>
      <c r="M153" s="34"/>
      <c r="N153" s="34"/>
      <c r="O153" s="34"/>
      <c r="P153" s="34"/>
      <c r="Q153" s="35"/>
      <c r="R153" s="35"/>
      <c r="AA153" s="11"/>
    </row>
    <row r="154" spans="1:27" ht="9.9499999999999993" customHeight="1">
      <c r="B154" s="25"/>
      <c r="D154" s="26"/>
      <c r="E154" s="27"/>
      <c r="F154" s="34"/>
      <c r="G154" s="34"/>
      <c r="H154" s="34"/>
      <c r="I154" s="34"/>
      <c r="J154" s="34"/>
      <c r="K154" s="34"/>
      <c r="L154" s="34"/>
      <c r="M154" s="34"/>
      <c r="N154" s="34"/>
      <c r="O154" s="34"/>
      <c r="P154" s="34"/>
      <c r="Q154" s="35"/>
      <c r="R154" s="35"/>
      <c r="AA154" s="11"/>
    </row>
    <row r="155" spans="1:27" ht="9.9499999999999993" customHeight="1">
      <c r="B155" s="25"/>
      <c r="D155" s="26"/>
      <c r="E155" s="27"/>
      <c r="F155" s="34"/>
      <c r="G155" s="34"/>
      <c r="H155" s="34"/>
      <c r="I155" s="34"/>
      <c r="J155" s="34"/>
      <c r="K155" s="34"/>
      <c r="L155" s="34"/>
      <c r="M155" s="34"/>
      <c r="N155" s="34"/>
      <c r="O155" s="34"/>
      <c r="P155" s="34"/>
      <c r="Q155" s="35"/>
      <c r="R155" s="35"/>
      <c r="AA155" s="11"/>
    </row>
    <row r="156" spans="1:27" ht="9.9499999999999993" customHeight="1">
      <c r="B156" s="25"/>
      <c r="D156" s="26"/>
      <c r="E156" s="27"/>
      <c r="F156" s="34"/>
      <c r="G156" s="34"/>
      <c r="H156" s="34"/>
      <c r="I156" s="34"/>
      <c r="J156" s="34"/>
      <c r="K156" s="34"/>
      <c r="L156" s="34"/>
      <c r="M156" s="34"/>
      <c r="N156" s="34"/>
      <c r="O156" s="34"/>
      <c r="P156" s="34"/>
      <c r="Q156" s="35"/>
      <c r="R156" s="35"/>
      <c r="AA156" s="11"/>
    </row>
    <row r="157" spans="1:27" ht="9.9499999999999993" customHeight="1">
      <c r="B157" s="25"/>
      <c r="D157" s="26"/>
      <c r="E157" s="27"/>
      <c r="F157" s="34"/>
      <c r="G157" s="34"/>
      <c r="H157" s="34"/>
      <c r="I157" s="34"/>
      <c r="J157" s="34"/>
      <c r="K157" s="34"/>
      <c r="L157" s="34"/>
      <c r="M157" s="34"/>
      <c r="N157" s="34"/>
      <c r="O157" s="34"/>
      <c r="P157" s="34"/>
      <c r="Q157" s="35"/>
      <c r="R157" s="35"/>
      <c r="AA157" s="11"/>
    </row>
    <row r="158" spans="1:27" ht="9.9499999999999993" customHeight="1">
      <c r="B158" s="25"/>
      <c r="D158" s="26"/>
      <c r="E158" s="27"/>
      <c r="F158" s="34"/>
      <c r="G158" s="34"/>
      <c r="H158" s="34"/>
      <c r="I158" s="34"/>
      <c r="J158" s="34"/>
      <c r="K158" s="34"/>
      <c r="L158" s="34"/>
      <c r="M158" s="34"/>
      <c r="N158" s="34"/>
      <c r="O158" s="34"/>
      <c r="P158" s="34"/>
      <c r="Q158" s="35"/>
      <c r="R158" s="35"/>
      <c r="AA158" s="11"/>
    </row>
    <row r="159" spans="1:27" ht="9.9499999999999993" customHeight="1">
      <c r="B159" s="28"/>
      <c r="D159" s="26"/>
      <c r="E159" s="27"/>
      <c r="F159" s="34"/>
      <c r="G159" s="34"/>
      <c r="H159" s="34"/>
      <c r="I159" s="34"/>
      <c r="J159" s="34"/>
      <c r="K159" s="34"/>
      <c r="L159" s="34"/>
      <c r="M159" s="34"/>
      <c r="N159" s="34"/>
      <c r="O159" s="34"/>
      <c r="P159" s="34"/>
      <c r="Q159" s="35"/>
      <c r="R159" s="35"/>
      <c r="AA159" s="11"/>
    </row>
    <row r="160" spans="1:27" ht="9.9499999999999993" customHeight="1">
      <c r="B160" s="28"/>
      <c r="D160" s="26"/>
      <c r="E160" s="27"/>
      <c r="F160" s="34"/>
      <c r="G160" s="34"/>
      <c r="H160" s="34"/>
      <c r="I160" s="34"/>
      <c r="J160" s="34"/>
      <c r="K160" s="34"/>
      <c r="L160" s="34"/>
      <c r="M160" s="34"/>
      <c r="N160" s="34"/>
      <c r="O160" s="34"/>
      <c r="P160" s="34"/>
      <c r="Q160" s="35"/>
      <c r="R160" s="35"/>
      <c r="AA160" s="11"/>
    </row>
    <row r="161" spans="1:27" s="11" customFormat="1" ht="9.9499999999999993" customHeight="1">
      <c r="A161" s="23"/>
      <c r="B161" s="25"/>
      <c r="C161" s="23"/>
      <c r="D161" s="26"/>
      <c r="E161" s="27"/>
      <c r="F161" s="34"/>
      <c r="G161" s="34"/>
      <c r="H161" s="34"/>
      <c r="I161" s="34"/>
      <c r="J161" s="34"/>
      <c r="K161" s="34"/>
      <c r="L161" s="34"/>
      <c r="M161" s="34"/>
      <c r="N161" s="34"/>
      <c r="O161" s="34"/>
      <c r="P161" s="34"/>
      <c r="Q161" s="35"/>
      <c r="R161" s="35"/>
    </row>
    <row r="162" spans="1:27" ht="9.9499999999999993" customHeight="1">
      <c r="F162" s="35"/>
      <c r="G162" s="35"/>
      <c r="H162" s="35"/>
      <c r="I162" s="35"/>
      <c r="J162" s="35"/>
      <c r="K162" s="35"/>
      <c r="L162" s="35"/>
      <c r="M162" s="35"/>
      <c r="N162" s="35"/>
      <c r="O162" s="35"/>
      <c r="P162" s="35"/>
      <c r="Q162" s="35"/>
      <c r="R162" s="35"/>
      <c r="AA162" s="11"/>
    </row>
    <row r="163" spans="1:27" ht="9.9499999999999993" customHeight="1">
      <c r="F163" s="35"/>
      <c r="G163" s="35"/>
      <c r="H163" s="35"/>
      <c r="I163" s="35"/>
      <c r="J163" s="35"/>
      <c r="K163" s="35"/>
      <c r="L163" s="35"/>
      <c r="M163" s="35"/>
      <c r="N163" s="35"/>
      <c r="O163" s="35"/>
      <c r="P163" s="35"/>
      <c r="Q163" s="35"/>
      <c r="R163" s="35"/>
      <c r="AA163" s="11"/>
    </row>
    <row r="164" spans="1:27" ht="9.9499999999999993" customHeight="1">
      <c r="B164" s="25"/>
      <c r="D164" s="26"/>
      <c r="E164" s="27"/>
      <c r="F164" s="33"/>
      <c r="G164" s="33"/>
      <c r="H164" s="33"/>
      <c r="I164" s="33"/>
      <c r="J164" s="33"/>
      <c r="K164" s="33"/>
      <c r="L164" s="33"/>
      <c r="M164" s="33"/>
      <c r="N164" s="33"/>
      <c r="O164" s="33"/>
      <c r="P164" s="33"/>
      <c r="Q164" s="35"/>
      <c r="R164" s="35"/>
      <c r="AA164" s="11" t="s">
        <v>8</v>
      </c>
    </row>
    <row r="165" spans="1:27" ht="9.9499999999999993" customHeight="1">
      <c r="B165" s="25"/>
      <c r="D165" s="26"/>
      <c r="E165" s="27"/>
      <c r="F165" s="34"/>
      <c r="G165" s="34"/>
      <c r="H165" s="34"/>
      <c r="I165" s="34"/>
      <c r="J165" s="34"/>
      <c r="K165" s="34"/>
      <c r="L165" s="34"/>
      <c r="M165" s="34"/>
      <c r="N165" s="34"/>
      <c r="O165" s="34"/>
      <c r="P165" s="34"/>
      <c r="Q165" s="35"/>
      <c r="R165" s="35"/>
      <c r="AA165" s="11"/>
    </row>
    <row r="166" spans="1:27" ht="9.9499999999999993" customHeight="1">
      <c r="B166" s="25"/>
      <c r="D166" s="26"/>
      <c r="E166" s="27"/>
      <c r="F166" s="34"/>
      <c r="G166" s="34"/>
      <c r="H166" s="34"/>
      <c r="I166" s="34"/>
      <c r="J166" s="34"/>
      <c r="K166" s="34"/>
      <c r="L166" s="34"/>
      <c r="M166" s="34"/>
      <c r="N166" s="34"/>
      <c r="O166" s="34"/>
      <c r="P166" s="34"/>
      <c r="Q166" s="35"/>
      <c r="R166" s="35"/>
      <c r="AA166" s="11"/>
    </row>
    <row r="167" spans="1:27" ht="9.9499999999999993" customHeight="1">
      <c r="B167" s="25"/>
      <c r="D167" s="26"/>
      <c r="E167" s="27"/>
      <c r="F167" s="34"/>
      <c r="G167" s="34"/>
      <c r="H167" s="34"/>
      <c r="I167" s="34"/>
      <c r="J167" s="34"/>
      <c r="K167" s="34"/>
      <c r="L167" s="34"/>
      <c r="M167" s="34"/>
      <c r="N167" s="34"/>
      <c r="O167" s="34"/>
      <c r="P167" s="34"/>
      <c r="Q167" s="35"/>
      <c r="R167" s="35"/>
      <c r="AA167" s="11"/>
    </row>
    <row r="168" spans="1:27" ht="9.9499999999999993" customHeight="1">
      <c r="B168" s="25"/>
      <c r="D168" s="26"/>
      <c r="E168" s="27"/>
      <c r="F168" s="34"/>
      <c r="G168" s="34"/>
      <c r="H168" s="34"/>
      <c r="I168" s="34"/>
      <c r="J168" s="34"/>
      <c r="K168" s="34"/>
      <c r="L168" s="34"/>
      <c r="M168" s="34"/>
      <c r="N168" s="34"/>
      <c r="O168" s="34"/>
      <c r="P168" s="34"/>
      <c r="Q168" s="35"/>
      <c r="R168" s="35"/>
      <c r="AA168" s="11"/>
    </row>
    <row r="169" spans="1:27" ht="9.9499999999999993" customHeight="1">
      <c r="B169" s="25"/>
      <c r="D169" s="26"/>
      <c r="E169" s="27"/>
      <c r="F169" s="34"/>
      <c r="G169" s="34"/>
      <c r="H169" s="34"/>
      <c r="I169" s="34"/>
      <c r="J169" s="34"/>
      <c r="K169" s="34"/>
      <c r="L169" s="34"/>
      <c r="M169" s="34"/>
      <c r="N169" s="34"/>
      <c r="O169" s="34"/>
      <c r="P169" s="34"/>
      <c r="Q169" s="35"/>
      <c r="R169" s="35"/>
      <c r="AA169" s="11"/>
    </row>
    <row r="170" spans="1:27" ht="9.9499999999999993" customHeight="1">
      <c r="B170" s="25"/>
      <c r="D170" s="26"/>
      <c r="E170" s="27"/>
      <c r="F170" s="34"/>
      <c r="G170" s="34"/>
      <c r="H170" s="34"/>
      <c r="I170" s="34"/>
      <c r="J170" s="34"/>
      <c r="K170" s="34"/>
      <c r="L170" s="34"/>
      <c r="M170" s="34"/>
      <c r="N170" s="34"/>
      <c r="O170" s="34"/>
      <c r="P170" s="34"/>
      <c r="Q170" s="35"/>
      <c r="R170" s="35"/>
      <c r="AA170" s="11"/>
    </row>
    <row r="171" spans="1:27" ht="9.9499999999999993" customHeight="1">
      <c r="B171" s="28"/>
      <c r="D171" s="26"/>
      <c r="E171" s="27"/>
      <c r="F171" s="34"/>
      <c r="G171" s="34"/>
      <c r="H171" s="34"/>
      <c r="I171" s="34"/>
      <c r="J171" s="34"/>
      <c r="K171" s="34"/>
      <c r="L171" s="34"/>
      <c r="M171" s="34"/>
      <c r="N171" s="34"/>
      <c r="O171" s="34"/>
      <c r="P171" s="34"/>
      <c r="Q171" s="35"/>
      <c r="R171" s="35"/>
      <c r="AA171" s="11"/>
    </row>
    <row r="172" spans="1:27" ht="9.9499999999999993" customHeight="1">
      <c r="B172" s="28"/>
      <c r="D172" s="26"/>
      <c r="E172" s="27"/>
      <c r="F172" s="34"/>
      <c r="G172" s="34"/>
      <c r="H172" s="34"/>
      <c r="I172" s="34"/>
      <c r="J172" s="34"/>
      <c r="K172" s="34"/>
      <c r="L172" s="34"/>
      <c r="M172" s="34"/>
      <c r="N172" s="34"/>
      <c r="O172" s="34"/>
      <c r="P172" s="34"/>
      <c r="Q172" s="35"/>
      <c r="R172" s="35"/>
      <c r="AA172" s="11"/>
    </row>
    <row r="173" spans="1:27" ht="9.9499999999999993" customHeight="1">
      <c r="F173" s="44"/>
      <c r="G173" s="44"/>
      <c r="H173" s="44"/>
      <c r="I173" s="44"/>
      <c r="J173" s="44"/>
      <c r="K173" s="35"/>
      <c r="L173" s="35"/>
      <c r="M173" s="35"/>
      <c r="N173" s="35"/>
      <c r="O173" s="35"/>
      <c r="P173" s="35"/>
      <c r="Q173" s="35"/>
      <c r="R173" s="35"/>
      <c r="AA173" s="11" t="s">
        <v>9</v>
      </c>
    </row>
    <row r="174" spans="1:27" ht="9.9499999999999993" customHeight="1">
      <c r="F174" s="35"/>
      <c r="G174" s="35"/>
      <c r="H174" s="35"/>
      <c r="I174" s="35"/>
      <c r="J174" s="35"/>
      <c r="K174" s="35"/>
      <c r="L174" s="35"/>
      <c r="M174" s="35"/>
      <c r="N174" s="35"/>
      <c r="O174" s="35"/>
      <c r="P174" s="35"/>
      <c r="Q174" s="35"/>
      <c r="R174" s="35"/>
      <c r="AA174" s="11"/>
    </row>
    <row r="175" spans="1:27" ht="9.9499999999999993" customHeight="1">
      <c r="F175" s="35"/>
      <c r="G175" s="35"/>
      <c r="H175" s="35"/>
      <c r="I175" s="35"/>
      <c r="J175" s="35"/>
      <c r="K175" s="35"/>
      <c r="L175" s="35"/>
      <c r="M175" s="35"/>
      <c r="N175" s="35"/>
      <c r="O175" s="35"/>
      <c r="P175" s="35"/>
      <c r="Q175" s="35"/>
      <c r="R175" s="35"/>
      <c r="AA175" s="11"/>
    </row>
    <row r="176" spans="1:27" ht="9.9499999999999993" customHeight="1">
      <c r="F176" s="35"/>
      <c r="G176" s="35"/>
      <c r="H176" s="35"/>
      <c r="I176" s="35"/>
      <c r="J176" s="35"/>
      <c r="K176" s="35"/>
      <c r="L176" s="35"/>
      <c r="M176" s="35"/>
      <c r="N176" s="35"/>
      <c r="O176" s="35"/>
      <c r="P176" s="35"/>
      <c r="Q176" s="35"/>
      <c r="R176" s="35"/>
      <c r="AA176" s="11"/>
    </row>
    <row r="177" spans="6:18" ht="9.9499999999999993" customHeight="1">
      <c r="F177" s="35"/>
      <c r="G177" s="35"/>
      <c r="H177" s="35"/>
      <c r="I177" s="35"/>
      <c r="J177" s="35"/>
      <c r="K177" s="35"/>
      <c r="L177" s="35"/>
      <c r="M177" s="35"/>
      <c r="N177" s="35"/>
      <c r="O177" s="35"/>
      <c r="P177" s="35"/>
      <c r="Q177" s="35"/>
      <c r="R177" s="35"/>
    </row>
    <row r="178" spans="6:18" ht="9.9499999999999993" customHeight="1">
      <c r="F178" s="35"/>
      <c r="G178" s="35"/>
      <c r="H178" s="35"/>
      <c r="I178" s="35"/>
      <c r="J178" s="35"/>
      <c r="K178" s="35"/>
      <c r="L178" s="35"/>
      <c r="M178" s="35"/>
      <c r="N178" s="35"/>
      <c r="O178" s="35"/>
      <c r="P178" s="35"/>
      <c r="Q178" s="35"/>
      <c r="R178" s="35"/>
    </row>
    <row r="179" spans="6:18" ht="9.9499999999999993" customHeight="1">
      <c r="F179" s="35"/>
      <c r="G179" s="35"/>
      <c r="H179" s="35"/>
      <c r="I179" s="35"/>
      <c r="J179" s="35"/>
      <c r="K179" s="35"/>
      <c r="L179" s="35"/>
      <c r="M179" s="35"/>
      <c r="N179" s="35"/>
      <c r="O179" s="35"/>
      <c r="P179" s="35"/>
      <c r="Q179" s="35"/>
      <c r="R179" s="35"/>
    </row>
    <row r="180" spans="6:18" ht="9.9499999999999993" customHeight="1">
      <c r="F180" s="35"/>
      <c r="G180" s="35"/>
      <c r="H180" s="35"/>
      <c r="I180" s="35"/>
      <c r="J180" s="35"/>
      <c r="K180" s="35"/>
      <c r="L180" s="35"/>
      <c r="M180" s="35"/>
      <c r="N180" s="35"/>
      <c r="O180" s="35"/>
      <c r="P180" s="35"/>
      <c r="Q180" s="35"/>
      <c r="R180" s="35"/>
    </row>
    <row r="181" spans="6:18" ht="9.9499999999999993" customHeight="1">
      <c r="F181" s="35"/>
      <c r="G181" s="35"/>
      <c r="H181" s="35"/>
      <c r="I181" s="35"/>
      <c r="J181" s="35"/>
      <c r="K181" s="35"/>
      <c r="L181" s="35"/>
      <c r="M181" s="35"/>
      <c r="N181" s="35"/>
      <c r="O181" s="35"/>
      <c r="P181" s="35"/>
      <c r="Q181" s="35"/>
      <c r="R181" s="35"/>
    </row>
    <row r="182" spans="6:18" ht="9.9499999999999993" customHeight="1">
      <c r="F182" s="35"/>
      <c r="G182" s="35"/>
      <c r="H182" s="35"/>
      <c r="I182" s="35"/>
      <c r="J182" s="35"/>
      <c r="K182" s="35"/>
      <c r="L182" s="35"/>
      <c r="M182" s="35"/>
      <c r="N182" s="35"/>
      <c r="O182" s="35"/>
      <c r="P182" s="35"/>
      <c r="Q182" s="35"/>
      <c r="R182" s="35"/>
    </row>
    <row r="183" spans="6:18" ht="9.9499999999999993" customHeight="1">
      <c r="F183" s="35"/>
      <c r="G183" s="35"/>
      <c r="H183" s="35"/>
      <c r="I183" s="35"/>
      <c r="J183" s="35"/>
      <c r="K183" s="35"/>
      <c r="L183" s="35"/>
      <c r="M183" s="35"/>
      <c r="N183" s="35"/>
      <c r="O183" s="35"/>
      <c r="P183" s="35"/>
      <c r="Q183" s="35"/>
      <c r="R183" s="35"/>
    </row>
    <row r="184" spans="6:18" ht="9.9499999999999993" customHeight="1">
      <c r="F184" s="35"/>
      <c r="G184" s="35"/>
      <c r="H184" s="35"/>
      <c r="I184" s="35"/>
      <c r="J184" s="35"/>
      <c r="K184" s="35"/>
      <c r="L184" s="35"/>
      <c r="M184" s="35"/>
      <c r="N184" s="35"/>
      <c r="O184" s="35"/>
      <c r="P184" s="35"/>
      <c r="Q184" s="35"/>
      <c r="R184" s="35"/>
    </row>
    <row r="185" spans="6:18" ht="9.9499999999999993" customHeight="1">
      <c r="F185" s="35"/>
      <c r="G185" s="35"/>
      <c r="H185" s="35"/>
      <c r="I185" s="35"/>
      <c r="J185" s="35"/>
      <c r="K185" s="35"/>
      <c r="L185" s="35"/>
      <c r="M185" s="35"/>
      <c r="N185" s="35"/>
      <c r="O185" s="35"/>
      <c r="P185" s="35"/>
      <c r="Q185" s="35"/>
      <c r="R185" s="35"/>
    </row>
    <row r="186" spans="6:18" ht="9.9499999999999993" customHeight="1">
      <c r="F186" s="35"/>
      <c r="G186" s="35"/>
      <c r="H186" s="35"/>
      <c r="I186" s="35"/>
      <c r="J186" s="35"/>
      <c r="K186" s="35"/>
      <c r="L186" s="35"/>
      <c r="M186" s="35"/>
      <c r="N186" s="35"/>
      <c r="O186" s="35"/>
      <c r="P186" s="35"/>
      <c r="Q186" s="35"/>
      <c r="R186" s="35"/>
    </row>
    <row r="187" spans="6:18" ht="9.9499999999999993" customHeight="1">
      <c r="F187" s="35"/>
      <c r="G187" s="35"/>
      <c r="H187" s="35"/>
      <c r="I187" s="35"/>
      <c r="J187" s="35"/>
      <c r="K187" s="35"/>
      <c r="L187" s="35"/>
      <c r="M187" s="35"/>
      <c r="N187" s="35"/>
      <c r="O187" s="35"/>
      <c r="P187" s="35"/>
      <c r="Q187" s="35"/>
      <c r="R187" s="35"/>
    </row>
    <row r="188" spans="6:18" ht="9.9499999999999993" customHeight="1">
      <c r="F188" s="35"/>
      <c r="G188" s="35"/>
      <c r="H188" s="35"/>
      <c r="I188" s="35"/>
      <c r="J188" s="35"/>
      <c r="K188" s="35"/>
      <c r="L188" s="35"/>
      <c r="M188" s="35"/>
      <c r="N188" s="35"/>
      <c r="O188" s="35"/>
      <c r="P188" s="35"/>
      <c r="Q188" s="35"/>
      <c r="R188" s="35"/>
    </row>
    <row r="189" spans="6:18" ht="9.9499999999999993" customHeight="1">
      <c r="F189" s="35"/>
      <c r="G189" s="35"/>
      <c r="H189" s="35"/>
      <c r="I189" s="35"/>
      <c r="J189" s="35"/>
      <c r="K189" s="35"/>
      <c r="L189" s="35"/>
      <c r="M189" s="35"/>
      <c r="N189" s="35"/>
      <c r="O189" s="35"/>
      <c r="P189" s="35"/>
      <c r="Q189" s="35"/>
      <c r="R189" s="35"/>
    </row>
    <row r="190" spans="6:18" ht="9.9499999999999993" customHeight="1">
      <c r="F190" s="35"/>
      <c r="G190" s="35"/>
      <c r="H190" s="35"/>
      <c r="I190" s="35"/>
      <c r="J190" s="35"/>
      <c r="K190" s="35"/>
      <c r="L190" s="35"/>
      <c r="M190" s="35"/>
      <c r="N190" s="35"/>
      <c r="O190" s="35"/>
      <c r="P190" s="35"/>
      <c r="Q190" s="35"/>
      <c r="R190" s="35"/>
    </row>
    <row r="191" spans="6:18" ht="9.9499999999999993" customHeight="1">
      <c r="F191" s="35"/>
      <c r="G191" s="35"/>
      <c r="H191" s="35"/>
      <c r="I191" s="35"/>
      <c r="J191" s="35"/>
      <c r="K191" s="35"/>
      <c r="L191" s="35"/>
      <c r="M191" s="35"/>
      <c r="N191" s="35"/>
      <c r="O191" s="35"/>
      <c r="P191" s="35"/>
      <c r="Q191" s="35"/>
      <c r="R191" s="35"/>
    </row>
    <row r="192" spans="6:18" ht="9.9499999999999993" customHeight="1">
      <c r="F192" s="35"/>
      <c r="G192" s="35"/>
      <c r="H192" s="35"/>
      <c r="I192" s="35"/>
      <c r="J192" s="35"/>
      <c r="K192" s="35"/>
      <c r="L192" s="35"/>
      <c r="M192" s="35"/>
      <c r="N192" s="35"/>
      <c r="O192" s="35"/>
      <c r="P192" s="35"/>
      <c r="Q192" s="35"/>
      <c r="R192" s="35"/>
    </row>
    <row r="193" spans="2:27" ht="9.9499999999999993" customHeight="1">
      <c r="F193" s="35"/>
      <c r="G193" s="35"/>
      <c r="H193" s="35"/>
      <c r="I193" s="35"/>
      <c r="J193" s="35"/>
      <c r="K193" s="35"/>
      <c r="L193" s="35"/>
      <c r="M193" s="35"/>
      <c r="N193" s="35"/>
      <c r="O193" s="35"/>
      <c r="P193" s="35"/>
      <c r="Q193" s="35"/>
      <c r="R193" s="35"/>
    </row>
    <row r="194" spans="2:27" ht="9.9499999999999993" customHeight="1">
      <c r="F194" s="35"/>
      <c r="G194" s="35"/>
      <c r="H194" s="35"/>
      <c r="I194" s="35"/>
      <c r="J194" s="35"/>
      <c r="K194" s="35"/>
      <c r="L194" s="35"/>
      <c r="M194" s="35"/>
      <c r="N194" s="35"/>
      <c r="O194" s="35"/>
      <c r="P194" s="35"/>
      <c r="Q194" s="35"/>
      <c r="R194" s="35"/>
    </row>
    <row r="195" spans="2:27" ht="9.9499999999999993" customHeight="1">
      <c r="F195" s="35"/>
      <c r="G195" s="35"/>
      <c r="H195" s="35"/>
      <c r="I195" s="35"/>
      <c r="J195" s="35"/>
      <c r="K195" s="35"/>
      <c r="L195" s="35"/>
      <c r="M195" s="35"/>
      <c r="N195" s="35"/>
      <c r="O195" s="35"/>
      <c r="P195" s="35"/>
      <c r="Q195" s="35"/>
      <c r="R195" s="35"/>
    </row>
    <row r="196" spans="2:27" ht="9.9499999999999993" customHeight="1">
      <c r="F196" s="35"/>
      <c r="G196" s="35"/>
      <c r="H196" s="35"/>
      <c r="I196" s="35"/>
      <c r="J196" s="35"/>
      <c r="K196" s="35"/>
      <c r="L196" s="35"/>
      <c r="M196" s="35"/>
      <c r="N196" s="35"/>
      <c r="O196" s="35"/>
      <c r="P196" s="35"/>
      <c r="Q196" s="35"/>
      <c r="R196" s="35"/>
    </row>
    <row r="197" spans="2:27" ht="9.9499999999999993" customHeight="1">
      <c r="F197" s="35"/>
      <c r="G197" s="35"/>
      <c r="H197" s="35"/>
      <c r="I197" s="35"/>
      <c r="J197" s="35"/>
      <c r="K197" s="35"/>
      <c r="L197" s="35"/>
      <c r="M197" s="35"/>
      <c r="N197" s="35"/>
      <c r="O197" s="35"/>
      <c r="P197" s="35"/>
      <c r="Q197" s="35"/>
      <c r="R197" s="35"/>
    </row>
    <row r="198" spans="2:27" ht="9.9499999999999993" customHeight="1">
      <c r="F198" s="35"/>
      <c r="G198" s="35"/>
      <c r="H198" s="35"/>
      <c r="I198" s="35"/>
      <c r="J198" s="35"/>
      <c r="K198" s="35"/>
      <c r="L198" s="35"/>
      <c r="M198" s="35"/>
      <c r="N198" s="35"/>
      <c r="O198" s="35"/>
      <c r="P198" s="35"/>
      <c r="Q198" s="35"/>
      <c r="R198" s="35"/>
    </row>
    <row r="199" spans="2:27" ht="9.9499999999999993" customHeight="1">
      <c r="F199" s="35"/>
      <c r="G199" s="35"/>
      <c r="H199" s="35"/>
      <c r="I199" s="35"/>
      <c r="J199" s="35"/>
      <c r="K199" s="35"/>
      <c r="L199" s="35"/>
      <c r="M199" s="35"/>
      <c r="N199" s="35"/>
      <c r="O199" s="35"/>
      <c r="P199" s="35"/>
      <c r="Q199" s="35"/>
      <c r="R199" s="35"/>
    </row>
    <row r="200" spans="2:27" ht="9.9499999999999993" customHeight="1">
      <c r="F200" s="35"/>
      <c r="G200" s="35"/>
      <c r="H200" s="35"/>
      <c r="I200" s="35"/>
      <c r="J200" s="35"/>
      <c r="K200" s="35"/>
      <c r="L200" s="35"/>
      <c r="M200" s="35"/>
      <c r="N200" s="35"/>
      <c r="O200" s="35"/>
      <c r="P200" s="35"/>
      <c r="Q200" s="35"/>
      <c r="R200" s="35"/>
    </row>
    <row r="201" spans="2:27" ht="9.9499999999999993" customHeight="1">
      <c r="F201" s="35"/>
      <c r="G201" s="35"/>
      <c r="H201" s="35"/>
      <c r="I201" s="35"/>
      <c r="J201" s="35"/>
      <c r="K201" s="35"/>
      <c r="L201" s="35"/>
      <c r="M201" s="35"/>
      <c r="N201" s="35"/>
      <c r="O201" s="35"/>
      <c r="P201" s="35"/>
      <c r="Q201" s="35"/>
      <c r="R201" s="35"/>
      <c r="T201" s="11"/>
      <c r="U201" s="11"/>
      <c r="V201" s="11"/>
      <c r="W201" s="11"/>
      <c r="X201" s="11"/>
      <c r="Y201" s="11"/>
      <c r="Z201" s="11"/>
      <c r="AA201" s="11" t="s">
        <v>7</v>
      </c>
    </row>
    <row r="202" spans="2:27" ht="9.9499999999999993" customHeight="1">
      <c r="F202" s="35"/>
      <c r="G202" s="35"/>
      <c r="H202" s="35"/>
      <c r="I202" s="35"/>
      <c r="J202" s="35"/>
      <c r="K202" s="35"/>
      <c r="L202" s="35"/>
      <c r="M202" s="35"/>
      <c r="N202" s="35"/>
      <c r="O202" s="35"/>
      <c r="P202" s="35"/>
      <c r="Q202" s="35"/>
      <c r="R202" s="35"/>
      <c r="T202" s="11"/>
      <c r="U202" s="11"/>
      <c r="V202" s="11"/>
      <c r="W202" s="11"/>
      <c r="X202" s="11"/>
      <c r="Y202" s="11"/>
      <c r="Z202" s="11"/>
      <c r="AA202" s="11"/>
    </row>
    <row r="203" spans="2:27" ht="9.9499999999999993" customHeight="1">
      <c r="F203" s="35"/>
      <c r="G203" s="35"/>
      <c r="H203" s="35"/>
      <c r="I203" s="35"/>
      <c r="J203" s="35"/>
      <c r="K203" s="35"/>
      <c r="L203" s="35"/>
      <c r="M203" s="35"/>
      <c r="N203" s="35"/>
      <c r="O203" s="35"/>
      <c r="P203" s="35"/>
      <c r="Q203" s="35"/>
      <c r="R203" s="35"/>
      <c r="T203" s="11"/>
      <c r="U203" s="11"/>
      <c r="V203" s="11"/>
      <c r="W203" s="11"/>
      <c r="X203" s="11"/>
      <c r="Y203" s="11"/>
      <c r="Z203" s="11"/>
      <c r="AA203" s="11"/>
    </row>
    <row r="204" spans="2:27" ht="9.9499999999999993" customHeight="1">
      <c r="B204" s="25"/>
      <c r="D204" s="26"/>
      <c r="E204" s="27"/>
      <c r="F204" s="33"/>
      <c r="G204" s="33"/>
      <c r="H204" s="33"/>
      <c r="I204" s="33"/>
      <c r="J204" s="33"/>
      <c r="K204" s="33"/>
      <c r="L204" s="33"/>
      <c r="M204" s="33"/>
      <c r="N204" s="33"/>
      <c r="O204" s="33"/>
      <c r="P204" s="33"/>
      <c r="Q204" s="35"/>
      <c r="R204" s="35"/>
      <c r="T204" s="11"/>
      <c r="U204" s="11"/>
      <c r="V204" s="11"/>
      <c r="W204" s="11"/>
      <c r="X204" s="11"/>
      <c r="Y204" s="11"/>
      <c r="Z204" s="11"/>
      <c r="AA204" s="11" t="s">
        <v>8</v>
      </c>
    </row>
    <row r="205" spans="2:27" ht="9.9499999999999993" customHeight="1">
      <c r="B205" s="25"/>
      <c r="D205" s="26"/>
      <c r="E205" s="27"/>
      <c r="F205" s="34"/>
      <c r="G205" s="34"/>
      <c r="H205" s="34"/>
      <c r="I205" s="34"/>
      <c r="J205" s="34"/>
      <c r="K205" s="34"/>
      <c r="L205" s="34"/>
      <c r="M205" s="34"/>
      <c r="N205" s="34"/>
      <c r="O205" s="34"/>
      <c r="P205" s="34"/>
      <c r="Q205" s="35"/>
      <c r="R205" s="35"/>
      <c r="T205" s="11"/>
      <c r="U205" s="11"/>
      <c r="V205" s="11"/>
      <c r="W205" s="11"/>
      <c r="X205" s="11"/>
      <c r="Y205" s="11"/>
      <c r="Z205" s="11"/>
      <c r="AA205" s="11"/>
    </row>
    <row r="206" spans="2:27" ht="9.9499999999999993" customHeight="1">
      <c r="B206" s="25"/>
      <c r="D206" s="26"/>
      <c r="E206" s="27"/>
      <c r="F206" s="34"/>
      <c r="G206" s="34"/>
      <c r="H206" s="34"/>
      <c r="I206" s="34"/>
      <c r="J206" s="34"/>
      <c r="K206" s="34"/>
      <c r="L206" s="34"/>
      <c r="M206" s="34"/>
      <c r="N206" s="34"/>
      <c r="O206" s="34"/>
      <c r="P206" s="34"/>
      <c r="Q206" s="35"/>
      <c r="R206" s="35"/>
      <c r="T206" s="11"/>
      <c r="U206" s="11"/>
      <c r="V206" s="11"/>
      <c r="W206" s="11"/>
      <c r="X206" s="11"/>
      <c r="Y206" s="11"/>
      <c r="Z206" s="11"/>
      <c r="AA206" s="11"/>
    </row>
    <row r="207" spans="2:27" ht="9.9499999999999993" customHeight="1">
      <c r="B207" s="25"/>
      <c r="D207" s="26"/>
      <c r="E207" s="27"/>
      <c r="F207" s="34"/>
      <c r="G207" s="34"/>
      <c r="H207" s="34"/>
      <c r="I207" s="34"/>
      <c r="J207" s="34"/>
      <c r="K207" s="34"/>
      <c r="L207" s="34"/>
      <c r="M207" s="34"/>
      <c r="N207" s="34"/>
      <c r="O207" s="34"/>
      <c r="P207" s="34"/>
      <c r="Q207" s="35"/>
      <c r="R207" s="35"/>
      <c r="T207" s="11"/>
      <c r="U207" s="11"/>
      <c r="V207" s="11"/>
      <c r="W207" s="11"/>
      <c r="X207" s="11"/>
      <c r="Y207" s="11"/>
      <c r="Z207" s="11"/>
      <c r="AA207" s="15"/>
    </row>
    <row r="208" spans="2:27" ht="9.9499999999999993" customHeight="1">
      <c r="B208" s="25"/>
      <c r="D208" s="26"/>
      <c r="E208" s="27"/>
      <c r="F208" s="34"/>
      <c r="G208" s="34"/>
      <c r="H208" s="34"/>
      <c r="I208" s="34"/>
      <c r="J208" s="34"/>
      <c r="K208" s="34"/>
      <c r="L208" s="34"/>
      <c r="M208" s="34"/>
      <c r="N208" s="34"/>
      <c r="O208" s="34"/>
      <c r="P208" s="34"/>
      <c r="Q208" s="35"/>
      <c r="R208" s="35"/>
      <c r="T208" s="11"/>
      <c r="U208" s="11"/>
      <c r="V208" s="11"/>
      <c r="W208" s="11"/>
      <c r="X208" s="11"/>
      <c r="Y208" s="11"/>
      <c r="Z208" s="11"/>
      <c r="AA208" s="15"/>
    </row>
    <row r="209" spans="2:27" ht="9.9499999999999993" customHeight="1">
      <c r="B209" s="25"/>
      <c r="D209" s="26"/>
      <c r="E209" s="27"/>
      <c r="F209" s="34"/>
      <c r="G209" s="34"/>
      <c r="H209" s="34"/>
      <c r="I209" s="34"/>
      <c r="J209" s="34"/>
      <c r="K209" s="34"/>
      <c r="L209" s="34"/>
      <c r="M209" s="34"/>
      <c r="N209" s="34"/>
      <c r="O209" s="34"/>
      <c r="P209" s="34"/>
      <c r="Q209" s="35"/>
      <c r="R209" s="35"/>
      <c r="T209" s="11"/>
      <c r="U209" s="11"/>
      <c r="V209" s="11"/>
      <c r="W209" s="11"/>
      <c r="X209" s="11"/>
      <c r="Y209" s="11"/>
      <c r="Z209" s="11"/>
      <c r="AA209" s="15"/>
    </row>
    <row r="210" spans="2:27" ht="9.9499999999999993" customHeight="1">
      <c r="B210" s="25"/>
      <c r="D210" s="26"/>
      <c r="E210" s="27"/>
      <c r="F210" s="34"/>
      <c r="G210" s="34"/>
      <c r="H210" s="34"/>
      <c r="I210" s="34"/>
      <c r="J210" s="34"/>
      <c r="K210" s="34"/>
      <c r="L210" s="34"/>
      <c r="M210" s="34"/>
      <c r="N210" s="34"/>
      <c r="O210" s="34"/>
      <c r="P210" s="34"/>
      <c r="Q210" s="35"/>
      <c r="R210" s="35"/>
      <c r="T210" s="11"/>
      <c r="U210" s="11"/>
      <c r="V210" s="11"/>
      <c r="W210" s="11"/>
      <c r="X210" s="11"/>
      <c r="Y210" s="11"/>
      <c r="Z210" s="11"/>
      <c r="AA210" s="15"/>
    </row>
    <row r="211" spans="2:27" ht="9.9499999999999993" customHeight="1">
      <c r="B211" s="28"/>
      <c r="D211" s="26"/>
      <c r="E211" s="27"/>
      <c r="F211" s="34"/>
      <c r="G211" s="34"/>
      <c r="H211" s="34"/>
      <c r="I211" s="34"/>
      <c r="J211" s="34"/>
      <c r="K211" s="34"/>
      <c r="L211" s="34"/>
      <c r="M211" s="34"/>
      <c r="N211" s="34"/>
      <c r="O211" s="34"/>
      <c r="P211" s="34"/>
      <c r="Q211" s="35"/>
      <c r="R211" s="35"/>
      <c r="T211" s="11"/>
      <c r="U211" s="11"/>
      <c r="V211" s="11"/>
      <c r="W211" s="11"/>
      <c r="X211" s="11"/>
      <c r="Y211" s="11"/>
      <c r="Z211" s="11"/>
      <c r="AA211" s="11"/>
    </row>
    <row r="212" spans="2:27" ht="9.9499999999999993" customHeight="1">
      <c r="B212" s="28"/>
      <c r="D212" s="26"/>
      <c r="E212" s="27"/>
      <c r="F212" s="34"/>
      <c r="G212" s="34"/>
      <c r="H212" s="34"/>
      <c r="I212" s="34"/>
      <c r="J212" s="34"/>
      <c r="K212" s="34"/>
      <c r="L212" s="34"/>
      <c r="M212" s="34"/>
      <c r="N212" s="34"/>
      <c r="O212" s="34"/>
      <c r="P212" s="34"/>
      <c r="Q212" s="35"/>
      <c r="R212" s="35"/>
      <c r="T212" s="11"/>
      <c r="U212" s="11"/>
      <c r="V212" s="11"/>
      <c r="W212" s="11"/>
      <c r="X212" s="11"/>
      <c r="Y212" s="11"/>
      <c r="Z212" s="11"/>
      <c r="AA212" s="11"/>
    </row>
    <row r="213" spans="2:27" ht="9.9499999999999993" customHeight="1">
      <c r="B213" s="25"/>
      <c r="D213" s="26"/>
      <c r="E213" s="27"/>
      <c r="F213" s="34"/>
      <c r="G213" s="34"/>
      <c r="H213" s="34"/>
      <c r="I213" s="34"/>
      <c r="J213" s="34"/>
      <c r="K213" s="34"/>
      <c r="L213" s="34"/>
      <c r="M213" s="34"/>
      <c r="N213" s="34"/>
      <c r="O213" s="34"/>
      <c r="P213" s="34"/>
      <c r="Q213" s="35"/>
      <c r="R213" s="35"/>
      <c r="T213" s="11"/>
      <c r="U213" s="11"/>
      <c r="V213" s="11"/>
      <c r="W213" s="11"/>
      <c r="X213" s="11"/>
      <c r="Y213" s="11"/>
      <c r="Z213" s="11"/>
      <c r="AA213" s="11"/>
    </row>
    <row r="214" spans="2:27" ht="9.9499999999999993" customHeight="1">
      <c r="F214" s="35"/>
      <c r="G214" s="35"/>
      <c r="H214" s="35"/>
      <c r="I214" s="35"/>
      <c r="J214" s="35"/>
      <c r="K214" s="35"/>
      <c r="L214" s="35"/>
      <c r="M214" s="35"/>
      <c r="N214" s="35"/>
      <c r="O214" s="35"/>
      <c r="P214" s="35"/>
      <c r="Q214" s="35"/>
      <c r="R214" s="35"/>
      <c r="T214" s="11"/>
      <c r="U214" s="11"/>
      <c r="V214" s="11"/>
      <c r="W214" s="11"/>
      <c r="X214" s="11"/>
      <c r="Y214" s="11"/>
      <c r="Z214" s="11"/>
      <c r="AA214" s="11"/>
    </row>
    <row r="215" spans="2:27" ht="9.9499999999999993" customHeight="1">
      <c r="F215" s="35"/>
      <c r="G215" s="35"/>
      <c r="H215" s="35"/>
      <c r="I215" s="35"/>
      <c r="J215" s="35"/>
      <c r="K215" s="35"/>
      <c r="L215" s="35"/>
      <c r="M215" s="35"/>
      <c r="N215" s="35"/>
      <c r="O215" s="35"/>
      <c r="P215" s="35"/>
      <c r="Q215" s="35"/>
      <c r="R215" s="35"/>
      <c r="T215" s="11"/>
      <c r="U215" s="11"/>
      <c r="V215" s="11"/>
      <c r="W215" s="11"/>
      <c r="X215" s="11"/>
      <c r="Y215" s="11"/>
      <c r="Z215" s="11"/>
      <c r="AA215" s="11"/>
    </row>
    <row r="216" spans="2:27" ht="9.9499999999999993" customHeight="1">
      <c r="B216" s="25"/>
      <c r="D216" s="26"/>
      <c r="E216" s="27"/>
      <c r="F216" s="33"/>
      <c r="G216" s="33"/>
      <c r="H216" s="33"/>
      <c r="I216" s="33"/>
      <c r="J216" s="33"/>
      <c r="K216" s="33"/>
      <c r="L216" s="33"/>
      <c r="M216" s="33"/>
      <c r="N216" s="33"/>
      <c r="O216" s="33"/>
      <c r="P216" s="33"/>
      <c r="Q216" s="35"/>
      <c r="R216" s="35"/>
      <c r="T216" s="11"/>
      <c r="U216" s="11"/>
      <c r="V216" s="11"/>
      <c r="W216" s="11"/>
      <c r="X216" s="11"/>
      <c r="Y216" s="11"/>
      <c r="Z216" s="11"/>
      <c r="AA216" s="11" t="s">
        <v>8</v>
      </c>
    </row>
    <row r="217" spans="2:27" ht="9.9499999999999993" customHeight="1">
      <c r="B217" s="25"/>
      <c r="D217" s="26"/>
      <c r="E217" s="27"/>
      <c r="F217" s="34"/>
      <c r="G217" s="34"/>
      <c r="H217" s="34"/>
      <c r="I217" s="34"/>
      <c r="J217" s="34"/>
      <c r="K217" s="34"/>
      <c r="L217" s="34"/>
      <c r="M217" s="34"/>
      <c r="N217" s="34"/>
      <c r="O217" s="34"/>
      <c r="P217" s="34"/>
      <c r="Q217" s="35"/>
      <c r="R217" s="35"/>
      <c r="T217" s="11"/>
      <c r="U217" s="11"/>
      <c r="V217" s="11"/>
      <c r="W217" s="11"/>
      <c r="X217" s="11"/>
      <c r="Y217" s="11"/>
      <c r="Z217" s="11"/>
      <c r="AA217" s="11"/>
    </row>
    <row r="218" spans="2:27" ht="9.9499999999999993" customHeight="1">
      <c r="B218" s="25"/>
      <c r="D218" s="26"/>
      <c r="E218" s="27"/>
      <c r="F218" s="34"/>
      <c r="G218" s="34"/>
      <c r="H218" s="34"/>
      <c r="I218" s="34"/>
      <c r="J218" s="34"/>
      <c r="K218" s="34"/>
      <c r="L218" s="34"/>
      <c r="M218" s="34"/>
      <c r="N218" s="34"/>
      <c r="O218" s="34"/>
      <c r="P218" s="34"/>
      <c r="Q218" s="35"/>
      <c r="R218" s="35"/>
      <c r="T218" s="11"/>
      <c r="U218" s="11"/>
      <c r="V218" s="11"/>
      <c r="W218" s="11"/>
      <c r="X218" s="11"/>
      <c r="Y218" s="11"/>
      <c r="Z218" s="11"/>
      <c r="AA218" s="11"/>
    </row>
    <row r="219" spans="2:27" ht="9.9499999999999993" customHeight="1">
      <c r="B219" s="25"/>
      <c r="D219" s="26"/>
      <c r="E219" s="27"/>
      <c r="F219" s="34"/>
      <c r="G219" s="34"/>
      <c r="H219" s="34"/>
      <c r="I219" s="34"/>
      <c r="J219" s="34"/>
      <c r="K219" s="34"/>
      <c r="L219" s="34"/>
      <c r="M219" s="34"/>
      <c r="N219" s="34"/>
      <c r="O219" s="34"/>
      <c r="P219" s="34"/>
      <c r="Q219" s="35"/>
      <c r="R219" s="35"/>
      <c r="T219" s="11"/>
      <c r="U219" s="11"/>
      <c r="V219" s="11"/>
      <c r="W219" s="11"/>
      <c r="X219" s="11"/>
      <c r="Y219" s="11"/>
      <c r="Z219" s="11"/>
      <c r="AA219" s="11"/>
    </row>
    <row r="220" spans="2:27" ht="9.9499999999999993" customHeight="1">
      <c r="B220" s="25"/>
      <c r="D220" s="26"/>
      <c r="E220" s="27"/>
      <c r="F220" s="34"/>
      <c r="G220" s="34"/>
      <c r="H220" s="34"/>
      <c r="I220" s="34"/>
      <c r="J220" s="34"/>
      <c r="K220" s="34"/>
      <c r="L220" s="34"/>
      <c r="M220" s="34"/>
      <c r="N220" s="34"/>
      <c r="O220" s="34"/>
      <c r="P220" s="34"/>
      <c r="Q220" s="35"/>
      <c r="R220" s="35"/>
      <c r="T220" s="11"/>
      <c r="U220" s="11"/>
      <c r="V220" s="11"/>
      <c r="W220" s="11"/>
      <c r="X220" s="11"/>
      <c r="Y220" s="11"/>
      <c r="Z220" s="11"/>
      <c r="AA220" s="11"/>
    </row>
    <row r="221" spans="2:27" ht="9.9499999999999993" customHeight="1">
      <c r="B221" s="25"/>
      <c r="D221" s="26"/>
      <c r="E221" s="27"/>
      <c r="F221" s="34"/>
      <c r="G221" s="34"/>
      <c r="H221" s="34"/>
      <c r="I221" s="34"/>
      <c r="J221" s="34"/>
      <c r="K221" s="34"/>
      <c r="L221" s="34"/>
      <c r="M221" s="34"/>
      <c r="N221" s="34"/>
      <c r="O221" s="34"/>
      <c r="P221" s="34"/>
      <c r="Q221" s="35"/>
      <c r="R221" s="35"/>
      <c r="T221" s="11"/>
      <c r="U221" s="11"/>
      <c r="V221" s="11"/>
      <c r="W221" s="11"/>
      <c r="X221" s="11"/>
      <c r="Y221" s="11"/>
      <c r="Z221" s="11"/>
      <c r="AA221" s="11"/>
    </row>
    <row r="222" spans="2:27" ht="9.9499999999999993" customHeight="1">
      <c r="B222" s="25"/>
      <c r="D222" s="26"/>
      <c r="E222" s="27"/>
      <c r="F222" s="34"/>
      <c r="G222" s="34"/>
      <c r="H222" s="34"/>
      <c r="I222" s="34"/>
      <c r="J222" s="34"/>
      <c r="K222" s="34"/>
      <c r="L222" s="34"/>
      <c r="M222" s="34"/>
      <c r="N222" s="34"/>
      <c r="O222" s="34"/>
      <c r="P222" s="34"/>
      <c r="Q222" s="35"/>
      <c r="R222" s="35"/>
      <c r="T222" s="11"/>
      <c r="U222" s="11"/>
      <c r="V222" s="11"/>
      <c r="W222" s="11"/>
      <c r="X222" s="11"/>
      <c r="Y222" s="11"/>
      <c r="Z222" s="11"/>
      <c r="AA222" s="11"/>
    </row>
    <row r="223" spans="2:27" ht="9.9499999999999993" customHeight="1">
      <c r="B223" s="28"/>
      <c r="D223" s="26"/>
      <c r="E223" s="27"/>
      <c r="F223" s="34"/>
      <c r="G223" s="34"/>
      <c r="H223" s="34"/>
      <c r="I223" s="34"/>
      <c r="J223" s="34"/>
      <c r="K223" s="34"/>
      <c r="L223" s="34"/>
      <c r="M223" s="34"/>
      <c r="N223" s="34"/>
      <c r="O223" s="34"/>
      <c r="P223" s="34"/>
      <c r="Q223" s="35"/>
      <c r="R223" s="35"/>
      <c r="T223" s="11"/>
      <c r="U223" s="11"/>
      <c r="V223" s="11"/>
      <c r="W223" s="11"/>
      <c r="X223" s="11"/>
      <c r="Y223" s="11"/>
      <c r="Z223" s="11"/>
      <c r="AA223" s="11"/>
    </row>
    <row r="224" spans="2:27" ht="9.9499999999999993" customHeight="1">
      <c r="B224" s="28"/>
      <c r="D224" s="26"/>
      <c r="E224" s="27"/>
      <c r="F224" s="34"/>
      <c r="G224" s="34"/>
      <c r="H224" s="34"/>
      <c r="I224" s="34"/>
      <c r="J224" s="34"/>
      <c r="K224" s="34"/>
      <c r="L224" s="34"/>
      <c r="M224" s="34"/>
      <c r="N224" s="34"/>
      <c r="O224" s="34"/>
      <c r="P224" s="34"/>
      <c r="Q224" s="35"/>
      <c r="R224" s="35"/>
      <c r="T224" s="11"/>
      <c r="U224" s="11"/>
      <c r="V224" s="11"/>
      <c r="W224" s="11"/>
      <c r="X224" s="11"/>
      <c r="Y224" s="11"/>
      <c r="Z224" s="11"/>
      <c r="AA224" s="11"/>
    </row>
    <row r="225" spans="2:27" ht="9.9499999999999993" customHeight="1">
      <c r="B225" s="25"/>
      <c r="D225" s="26"/>
      <c r="E225" s="27"/>
      <c r="F225" s="34"/>
      <c r="G225" s="34"/>
      <c r="H225" s="34"/>
      <c r="I225" s="34"/>
      <c r="J225" s="34"/>
      <c r="K225" s="34"/>
      <c r="L225" s="34"/>
      <c r="M225" s="34"/>
      <c r="N225" s="34"/>
      <c r="O225" s="34"/>
      <c r="P225" s="34"/>
      <c r="Q225" s="35"/>
      <c r="R225" s="35"/>
      <c r="T225" s="11"/>
      <c r="U225" s="11"/>
      <c r="V225" s="11"/>
      <c r="W225" s="11"/>
      <c r="X225" s="11"/>
      <c r="Y225" s="11"/>
      <c r="Z225" s="11"/>
      <c r="AA225" s="11"/>
    </row>
    <row r="226" spans="2:27" ht="9.9499999999999993" customHeight="1">
      <c r="F226" s="35"/>
      <c r="G226" s="35"/>
      <c r="H226" s="35"/>
      <c r="I226" s="35"/>
      <c r="J226" s="35"/>
      <c r="K226" s="35"/>
      <c r="L226" s="35"/>
      <c r="M226" s="35"/>
      <c r="N226" s="35"/>
      <c r="O226" s="35"/>
      <c r="P226" s="35"/>
      <c r="Q226" s="35"/>
      <c r="R226" s="35"/>
      <c r="T226" s="11"/>
      <c r="U226" s="11"/>
      <c r="V226" s="11"/>
      <c r="W226" s="11"/>
      <c r="X226" s="11"/>
      <c r="Y226" s="11"/>
      <c r="Z226" s="11"/>
      <c r="AA226" s="11"/>
    </row>
    <row r="227" spans="2:27" ht="9.9499999999999993" customHeight="1">
      <c r="F227" s="35"/>
      <c r="G227" s="35"/>
      <c r="H227" s="35"/>
      <c r="I227" s="35"/>
      <c r="J227" s="35"/>
      <c r="K227" s="35"/>
      <c r="L227" s="35"/>
      <c r="M227" s="35"/>
      <c r="N227" s="35"/>
      <c r="O227" s="35"/>
      <c r="P227" s="35"/>
      <c r="Q227" s="35"/>
      <c r="R227" s="35"/>
      <c r="T227" s="11"/>
      <c r="U227" s="11"/>
      <c r="V227" s="11"/>
      <c r="W227" s="11"/>
      <c r="X227" s="11"/>
      <c r="Y227" s="11"/>
      <c r="Z227" s="11"/>
      <c r="AA227" s="11"/>
    </row>
    <row r="228" spans="2:27" ht="9.9499999999999993" customHeight="1">
      <c r="B228" s="25"/>
      <c r="D228" s="26"/>
      <c r="E228" s="27"/>
      <c r="F228" s="33"/>
      <c r="G228" s="33"/>
      <c r="H228" s="33"/>
      <c r="I228" s="33"/>
      <c r="J228" s="33"/>
      <c r="K228" s="33"/>
      <c r="L228" s="33"/>
      <c r="M228" s="33"/>
      <c r="N228" s="33"/>
      <c r="O228" s="33"/>
      <c r="P228" s="33"/>
      <c r="Q228" s="35"/>
      <c r="R228" s="35"/>
      <c r="T228" s="11"/>
      <c r="U228" s="11"/>
      <c r="V228" s="11"/>
      <c r="W228" s="11"/>
      <c r="X228" s="11"/>
      <c r="Y228" s="11"/>
      <c r="Z228" s="11"/>
      <c r="AA228" s="11" t="s">
        <v>8</v>
      </c>
    </row>
    <row r="229" spans="2:27" ht="9.9499999999999993" customHeight="1">
      <c r="B229" s="25"/>
      <c r="D229" s="26"/>
      <c r="E229" s="27"/>
      <c r="F229" s="34"/>
      <c r="G229" s="34"/>
      <c r="H229" s="34"/>
      <c r="I229" s="34"/>
      <c r="J229" s="34"/>
      <c r="K229" s="34"/>
      <c r="L229" s="34"/>
      <c r="M229" s="34"/>
      <c r="N229" s="34"/>
      <c r="O229" s="34"/>
      <c r="P229" s="34"/>
      <c r="Q229" s="35"/>
      <c r="R229" s="35"/>
      <c r="T229" s="11"/>
      <c r="U229" s="11"/>
      <c r="V229" s="11"/>
      <c r="W229" s="11"/>
      <c r="X229" s="11"/>
      <c r="Y229" s="11"/>
      <c r="Z229" s="11"/>
      <c r="AA229" s="11"/>
    </row>
    <row r="230" spans="2:27" ht="9.9499999999999993" customHeight="1">
      <c r="B230" s="25"/>
      <c r="D230" s="26"/>
      <c r="E230" s="27"/>
      <c r="F230" s="34"/>
      <c r="G230" s="34"/>
      <c r="H230" s="34"/>
      <c r="I230" s="34"/>
      <c r="J230" s="34"/>
      <c r="K230" s="34"/>
      <c r="L230" s="34"/>
      <c r="M230" s="34"/>
      <c r="N230" s="34"/>
      <c r="O230" s="34"/>
      <c r="P230" s="34"/>
      <c r="Q230" s="35"/>
      <c r="R230" s="35"/>
      <c r="T230" s="11"/>
      <c r="U230" s="11"/>
      <c r="V230" s="11"/>
      <c r="W230" s="11"/>
      <c r="X230" s="11"/>
      <c r="Y230" s="11"/>
      <c r="Z230" s="11"/>
      <c r="AA230" s="11"/>
    </row>
    <row r="231" spans="2:27" ht="9.9499999999999993" customHeight="1">
      <c r="B231" s="25"/>
      <c r="D231" s="26"/>
      <c r="E231" s="27"/>
      <c r="F231" s="34"/>
      <c r="G231" s="34"/>
      <c r="H231" s="34"/>
      <c r="I231" s="34"/>
      <c r="J231" s="34"/>
      <c r="K231" s="34"/>
      <c r="L231" s="34"/>
      <c r="M231" s="34"/>
      <c r="N231" s="34"/>
      <c r="O231" s="34"/>
      <c r="P231" s="34"/>
      <c r="Q231" s="35"/>
      <c r="R231" s="35"/>
      <c r="T231" s="11"/>
      <c r="U231" s="11"/>
      <c r="V231" s="11"/>
      <c r="W231" s="11"/>
      <c r="X231" s="11"/>
      <c r="Y231" s="11"/>
      <c r="Z231" s="11"/>
      <c r="AA231" s="11"/>
    </row>
    <row r="232" spans="2:27" ht="9.9499999999999993" customHeight="1">
      <c r="B232" s="25"/>
      <c r="D232" s="26"/>
      <c r="E232" s="27"/>
      <c r="F232" s="34"/>
      <c r="G232" s="34"/>
      <c r="H232" s="34"/>
      <c r="I232" s="34"/>
      <c r="J232" s="34"/>
      <c r="K232" s="34"/>
      <c r="L232" s="34"/>
      <c r="M232" s="34"/>
      <c r="N232" s="34"/>
      <c r="O232" s="34"/>
      <c r="P232" s="34"/>
      <c r="Q232" s="35"/>
      <c r="R232" s="35"/>
      <c r="T232" s="11"/>
      <c r="U232" s="11"/>
      <c r="V232" s="11"/>
      <c r="W232" s="11"/>
      <c r="X232" s="11"/>
      <c r="Y232" s="11"/>
      <c r="Z232" s="11"/>
      <c r="AA232" s="11"/>
    </row>
    <row r="233" spans="2:27" ht="9.9499999999999993" customHeight="1">
      <c r="B233" s="25"/>
      <c r="D233" s="26"/>
      <c r="E233" s="27"/>
      <c r="F233" s="34"/>
      <c r="G233" s="34"/>
      <c r="H233" s="34"/>
      <c r="I233" s="34"/>
      <c r="J233" s="34"/>
      <c r="K233" s="34"/>
      <c r="L233" s="34"/>
      <c r="M233" s="34"/>
      <c r="N233" s="34"/>
      <c r="O233" s="34"/>
      <c r="P233" s="34"/>
      <c r="Q233" s="35"/>
      <c r="R233" s="35"/>
      <c r="T233" s="11"/>
      <c r="U233" s="11"/>
      <c r="V233" s="11"/>
      <c r="W233" s="11"/>
      <c r="X233" s="11"/>
      <c r="Y233" s="11"/>
      <c r="Z233" s="11"/>
      <c r="AA233" s="11"/>
    </row>
    <row r="234" spans="2:27" ht="9.9499999999999993" customHeight="1">
      <c r="B234" s="25"/>
      <c r="D234" s="26"/>
      <c r="E234" s="27"/>
      <c r="F234" s="34"/>
      <c r="G234" s="34"/>
      <c r="H234" s="34"/>
      <c r="I234" s="34"/>
      <c r="J234" s="34"/>
      <c r="K234" s="34"/>
      <c r="L234" s="34"/>
      <c r="M234" s="34"/>
      <c r="N234" s="34"/>
      <c r="O234" s="34"/>
      <c r="P234" s="34"/>
      <c r="Q234" s="35"/>
      <c r="R234" s="35"/>
      <c r="T234" s="11"/>
      <c r="U234" s="11"/>
      <c r="V234" s="11"/>
      <c r="W234" s="11"/>
      <c r="X234" s="11"/>
      <c r="Y234" s="11"/>
      <c r="Z234" s="11"/>
      <c r="AA234" s="11"/>
    </row>
    <row r="235" spans="2:27" ht="9.9499999999999993" customHeight="1">
      <c r="B235" s="28"/>
      <c r="D235" s="26"/>
      <c r="E235" s="27"/>
      <c r="F235" s="34"/>
      <c r="G235" s="34"/>
      <c r="H235" s="34"/>
      <c r="I235" s="34"/>
      <c r="J235" s="34"/>
      <c r="K235" s="34"/>
      <c r="L235" s="34"/>
      <c r="M235" s="34"/>
      <c r="N235" s="34"/>
      <c r="O235" s="34"/>
      <c r="P235" s="34"/>
      <c r="Q235" s="35"/>
      <c r="R235" s="35"/>
      <c r="T235" s="11"/>
      <c r="U235" s="11"/>
      <c r="V235" s="11"/>
      <c r="W235" s="11"/>
      <c r="X235" s="11"/>
      <c r="Y235" s="11"/>
      <c r="Z235" s="11"/>
      <c r="AA235" s="11"/>
    </row>
    <row r="236" spans="2:27" ht="9.9499999999999993" customHeight="1">
      <c r="B236" s="28"/>
      <c r="D236" s="26"/>
      <c r="E236" s="27"/>
      <c r="F236" s="34"/>
      <c r="G236" s="34"/>
      <c r="H236" s="34"/>
      <c r="I236" s="34"/>
      <c r="J236" s="34"/>
      <c r="K236" s="34"/>
      <c r="L236" s="34"/>
      <c r="M236" s="34"/>
      <c r="N236" s="34"/>
      <c r="O236" s="34"/>
      <c r="P236" s="34"/>
      <c r="Q236" s="35"/>
      <c r="R236" s="35"/>
      <c r="T236" s="11"/>
      <c r="U236" s="11"/>
      <c r="V236" s="11"/>
      <c r="W236" s="11"/>
      <c r="X236" s="11"/>
      <c r="Y236" s="11"/>
      <c r="Z236" s="11"/>
      <c r="AA236" s="11"/>
    </row>
    <row r="237" spans="2:27" ht="9.9499999999999993" customHeight="1">
      <c r="B237" s="25"/>
      <c r="D237" s="26"/>
      <c r="E237" s="27"/>
      <c r="F237" s="34"/>
      <c r="G237" s="34"/>
      <c r="H237" s="34"/>
      <c r="I237" s="34"/>
      <c r="J237" s="34"/>
      <c r="K237" s="34"/>
      <c r="L237" s="34"/>
      <c r="M237" s="34"/>
      <c r="N237" s="34"/>
      <c r="O237" s="34"/>
      <c r="P237" s="34"/>
      <c r="Q237" s="35"/>
      <c r="R237" s="35"/>
      <c r="T237" s="11"/>
      <c r="U237" s="11"/>
      <c r="V237" s="11"/>
      <c r="W237" s="11"/>
      <c r="X237" s="11"/>
      <c r="Y237" s="11"/>
      <c r="Z237" s="11"/>
      <c r="AA237" s="11"/>
    </row>
    <row r="238" spans="2:27" ht="9.9499999999999993" customHeight="1">
      <c r="F238" s="35"/>
      <c r="G238" s="35"/>
      <c r="H238" s="35"/>
      <c r="I238" s="35"/>
      <c r="J238" s="35"/>
      <c r="K238" s="35"/>
      <c r="L238" s="35"/>
      <c r="M238" s="35"/>
      <c r="N238" s="35"/>
      <c r="O238" s="35"/>
      <c r="P238" s="35"/>
      <c r="Q238" s="35"/>
      <c r="R238" s="35"/>
      <c r="T238" s="11"/>
      <c r="U238" s="11"/>
      <c r="V238" s="11"/>
      <c r="W238" s="11"/>
      <c r="X238" s="11"/>
      <c r="Y238" s="11"/>
      <c r="Z238" s="11"/>
      <c r="AA238" s="11"/>
    </row>
    <row r="239" spans="2:27" ht="9.9499999999999993" customHeight="1">
      <c r="F239" s="35"/>
      <c r="G239" s="35"/>
      <c r="H239" s="35"/>
      <c r="I239" s="35"/>
      <c r="J239" s="35"/>
      <c r="K239" s="35"/>
      <c r="L239" s="35"/>
      <c r="M239" s="35"/>
      <c r="N239" s="35"/>
      <c r="O239" s="35"/>
      <c r="P239" s="35"/>
      <c r="Q239" s="35"/>
      <c r="R239" s="35"/>
      <c r="T239" s="11"/>
      <c r="U239" s="11"/>
      <c r="V239" s="11"/>
      <c r="W239" s="11"/>
      <c r="X239" s="11"/>
      <c r="Y239" s="11"/>
      <c r="Z239" s="11"/>
      <c r="AA239" s="11"/>
    </row>
    <row r="240" spans="2:27" ht="9.9499999999999993" customHeight="1">
      <c r="B240" s="25"/>
      <c r="D240" s="26"/>
      <c r="E240" s="27"/>
      <c r="F240" s="33"/>
      <c r="G240" s="33"/>
      <c r="H240" s="33"/>
      <c r="I240" s="33"/>
      <c r="J240" s="33"/>
      <c r="K240" s="33"/>
      <c r="L240" s="33"/>
      <c r="M240" s="33"/>
      <c r="N240" s="33"/>
      <c r="O240" s="33"/>
      <c r="P240" s="33"/>
      <c r="Q240" s="35"/>
      <c r="R240" s="35"/>
      <c r="T240" s="11"/>
      <c r="U240" s="11"/>
      <c r="V240" s="11"/>
      <c r="W240" s="11"/>
      <c r="X240" s="11"/>
      <c r="Y240" s="11"/>
      <c r="Z240" s="11"/>
      <c r="AA240" s="11" t="s">
        <v>8</v>
      </c>
    </row>
    <row r="241" spans="2:27" ht="9.9499999999999993" customHeight="1">
      <c r="B241" s="25"/>
      <c r="D241" s="26"/>
      <c r="E241" s="27"/>
      <c r="F241" s="34"/>
      <c r="G241" s="34"/>
      <c r="H241" s="34"/>
      <c r="I241" s="34"/>
      <c r="J241" s="34"/>
      <c r="K241" s="34"/>
      <c r="L241" s="34"/>
      <c r="M241" s="34"/>
      <c r="N241" s="34"/>
      <c r="O241" s="34"/>
      <c r="P241" s="34"/>
      <c r="Q241" s="35"/>
      <c r="R241" s="35"/>
      <c r="T241" s="11"/>
      <c r="U241" s="11"/>
      <c r="V241" s="11"/>
      <c r="W241" s="11"/>
      <c r="X241" s="11"/>
      <c r="Y241" s="11"/>
      <c r="Z241" s="11"/>
      <c r="AA241" s="11"/>
    </row>
    <row r="242" spans="2:27" ht="9.9499999999999993" customHeight="1">
      <c r="B242" s="25"/>
      <c r="D242" s="26"/>
      <c r="E242" s="27"/>
      <c r="F242" s="34"/>
      <c r="G242" s="34"/>
      <c r="H242" s="34"/>
      <c r="I242" s="34"/>
      <c r="J242" s="34"/>
      <c r="K242" s="34"/>
      <c r="L242" s="34"/>
      <c r="M242" s="34"/>
      <c r="N242" s="34"/>
      <c r="O242" s="34"/>
      <c r="P242" s="34"/>
      <c r="Q242" s="35"/>
      <c r="R242" s="35"/>
      <c r="T242" s="11"/>
      <c r="U242" s="11"/>
      <c r="V242" s="11"/>
      <c r="W242" s="11"/>
      <c r="X242" s="11"/>
      <c r="Y242" s="11"/>
      <c r="Z242" s="11"/>
      <c r="AA242" s="11"/>
    </row>
    <row r="243" spans="2:27" ht="9.9499999999999993" customHeight="1">
      <c r="B243" s="25"/>
      <c r="D243" s="26"/>
      <c r="E243" s="27"/>
      <c r="F243" s="34"/>
      <c r="G243" s="34"/>
      <c r="H243" s="34"/>
      <c r="I243" s="34"/>
      <c r="J243" s="34"/>
      <c r="K243" s="34"/>
      <c r="L243" s="34"/>
      <c r="M243" s="34"/>
      <c r="N243" s="34"/>
      <c r="O243" s="34"/>
      <c r="P243" s="34"/>
      <c r="Q243" s="35"/>
      <c r="R243" s="35"/>
      <c r="T243" s="11"/>
      <c r="U243" s="11"/>
      <c r="V243" s="11"/>
      <c r="W243" s="11"/>
      <c r="X243" s="11"/>
      <c r="Y243" s="11"/>
      <c r="Z243" s="11"/>
      <c r="AA243" s="11"/>
    </row>
    <row r="244" spans="2:27" ht="9.9499999999999993" customHeight="1">
      <c r="B244" s="25"/>
      <c r="D244" s="26"/>
      <c r="E244" s="27"/>
      <c r="F244" s="34"/>
      <c r="G244" s="34"/>
      <c r="H244" s="34"/>
      <c r="I244" s="34"/>
      <c r="J244" s="34"/>
      <c r="K244" s="34"/>
      <c r="L244" s="34"/>
      <c r="M244" s="34"/>
      <c r="N244" s="34"/>
      <c r="O244" s="34"/>
      <c r="P244" s="34"/>
      <c r="Q244" s="35"/>
      <c r="R244" s="35"/>
      <c r="T244" s="11"/>
      <c r="U244" s="11"/>
      <c r="V244" s="11"/>
      <c r="W244" s="11"/>
      <c r="X244" s="11"/>
      <c r="Y244" s="11"/>
      <c r="Z244" s="11"/>
      <c r="AA244" s="11"/>
    </row>
    <row r="245" spans="2:27" ht="9.9499999999999993" customHeight="1">
      <c r="B245" s="25"/>
      <c r="D245" s="26"/>
      <c r="E245" s="27"/>
      <c r="F245" s="34"/>
      <c r="G245" s="34"/>
      <c r="H245" s="34"/>
      <c r="I245" s="34"/>
      <c r="J245" s="34"/>
      <c r="K245" s="34"/>
      <c r="L245" s="34"/>
      <c r="M245" s="34"/>
      <c r="N245" s="34"/>
      <c r="O245" s="34"/>
      <c r="P245" s="34"/>
      <c r="Q245" s="35"/>
      <c r="R245" s="35"/>
      <c r="T245" s="11"/>
      <c r="U245" s="11"/>
      <c r="V245" s="11"/>
      <c r="W245" s="11"/>
      <c r="X245" s="11"/>
      <c r="Y245" s="11"/>
      <c r="Z245" s="11"/>
      <c r="AA245" s="11"/>
    </row>
    <row r="246" spans="2:27" ht="9.9499999999999993" customHeight="1">
      <c r="B246" s="25"/>
      <c r="D246" s="26"/>
      <c r="E246" s="27"/>
      <c r="F246" s="34"/>
      <c r="G246" s="34"/>
      <c r="H246" s="34"/>
      <c r="I246" s="34"/>
      <c r="J246" s="34"/>
      <c r="K246" s="34"/>
      <c r="L246" s="34"/>
      <c r="M246" s="34"/>
      <c r="N246" s="34"/>
      <c r="O246" s="34"/>
      <c r="P246" s="34"/>
      <c r="Q246" s="35"/>
      <c r="R246" s="35"/>
      <c r="T246" s="11"/>
      <c r="U246" s="11"/>
      <c r="V246" s="11"/>
      <c r="W246" s="11"/>
      <c r="X246" s="11"/>
      <c r="Y246" s="11"/>
      <c r="Z246" s="11"/>
      <c r="AA246" s="11"/>
    </row>
    <row r="247" spans="2:27" ht="9.9499999999999993" customHeight="1">
      <c r="B247" s="28"/>
      <c r="D247" s="26"/>
      <c r="E247" s="27"/>
      <c r="F247" s="34"/>
      <c r="G247" s="34"/>
      <c r="H247" s="34"/>
      <c r="I247" s="34"/>
      <c r="J247" s="34"/>
      <c r="K247" s="34"/>
      <c r="L247" s="34"/>
      <c r="M247" s="34"/>
      <c r="N247" s="34"/>
      <c r="O247" s="34"/>
      <c r="P247" s="34"/>
      <c r="Q247" s="35"/>
      <c r="R247" s="35"/>
      <c r="T247" s="11"/>
      <c r="U247" s="11"/>
      <c r="V247" s="11"/>
      <c r="W247" s="11"/>
      <c r="X247" s="11"/>
      <c r="Y247" s="11"/>
      <c r="Z247" s="11"/>
      <c r="AA247" s="11"/>
    </row>
    <row r="248" spans="2:27" ht="9.9499999999999993" customHeight="1">
      <c r="B248" s="28"/>
      <c r="D248" s="26"/>
      <c r="E248" s="27"/>
      <c r="F248" s="34"/>
      <c r="G248" s="34"/>
      <c r="H248" s="34"/>
      <c r="I248" s="34"/>
      <c r="J248" s="34"/>
      <c r="K248" s="34"/>
      <c r="L248" s="34"/>
      <c r="M248" s="34"/>
      <c r="N248" s="34"/>
      <c r="O248" s="34"/>
      <c r="P248" s="34"/>
      <c r="Q248" s="35"/>
      <c r="R248" s="35"/>
      <c r="T248" s="11"/>
      <c r="U248" s="11"/>
      <c r="V248" s="11"/>
      <c r="W248" s="11"/>
      <c r="X248" s="11"/>
      <c r="Y248" s="11"/>
      <c r="Z248" s="11"/>
      <c r="AA248" s="11"/>
    </row>
    <row r="249" spans="2:27" ht="9.9499999999999993" customHeight="1">
      <c r="B249" s="25"/>
      <c r="D249" s="26"/>
      <c r="E249" s="27"/>
      <c r="F249" s="34"/>
      <c r="G249" s="34"/>
      <c r="H249" s="34"/>
      <c r="I249" s="34"/>
      <c r="J249" s="34"/>
      <c r="K249" s="34"/>
      <c r="L249" s="34"/>
      <c r="M249" s="34"/>
      <c r="N249" s="34"/>
      <c r="O249" s="34"/>
      <c r="P249" s="34"/>
      <c r="Q249" s="35"/>
      <c r="R249" s="35"/>
      <c r="T249" s="11"/>
      <c r="U249" s="11"/>
      <c r="V249" s="11"/>
      <c r="W249" s="11"/>
      <c r="X249" s="11"/>
      <c r="Y249" s="11"/>
      <c r="Z249" s="11"/>
      <c r="AA249" s="11"/>
    </row>
    <row r="250" spans="2:27" ht="9.9499999999999993" customHeight="1">
      <c r="F250" s="35"/>
      <c r="G250" s="35"/>
      <c r="H250" s="35"/>
      <c r="I250" s="35"/>
      <c r="J250" s="35"/>
      <c r="K250" s="35"/>
      <c r="L250" s="35"/>
      <c r="M250" s="35"/>
      <c r="N250" s="35"/>
      <c r="O250" s="35"/>
      <c r="P250" s="35"/>
      <c r="Q250" s="35"/>
      <c r="R250" s="35"/>
      <c r="T250" s="11"/>
      <c r="U250" s="11"/>
      <c r="V250" s="11"/>
      <c r="W250" s="11"/>
      <c r="X250" s="11"/>
      <c r="Y250" s="11"/>
      <c r="Z250" s="11"/>
      <c r="AA250" s="11"/>
    </row>
    <row r="251" spans="2:27" ht="9.9499999999999993" customHeight="1">
      <c r="F251" s="35"/>
      <c r="G251" s="35"/>
      <c r="H251" s="35"/>
      <c r="I251" s="35"/>
      <c r="J251" s="35"/>
      <c r="K251" s="35"/>
      <c r="L251" s="35"/>
      <c r="M251" s="35"/>
      <c r="N251" s="35"/>
      <c r="O251" s="35"/>
      <c r="P251" s="35"/>
      <c r="Q251" s="35"/>
      <c r="R251" s="35"/>
      <c r="T251" s="11"/>
      <c r="U251" s="11"/>
      <c r="V251" s="11"/>
      <c r="W251" s="11"/>
      <c r="X251" s="11"/>
      <c r="Y251" s="11"/>
      <c r="Z251" s="11"/>
      <c r="AA251" s="11"/>
    </row>
    <row r="252" spans="2:27" ht="9.9499999999999993" customHeight="1">
      <c r="B252" s="25"/>
      <c r="D252" s="26"/>
      <c r="E252" s="27"/>
      <c r="F252" s="33"/>
      <c r="G252" s="33"/>
      <c r="H252" s="33"/>
      <c r="I252" s="33"/>
      <c r="J252" s="33"/>
      <c r="K252" s="33"/>
      <c r="L252" s="33"/>
      <c r="M252" s="33"/>
      <c r="N252" s="33"/>
      <c r="O252" s="33"/>
      <c r="P252" s="33"/>
      <c r="Q252" s="35"/>
      <c r="R252" s="35"/>
      <c r="T252" s="11"/>
      <c r="U252" s="11"/>
      <c r="V252" s="11"/>
      <c r="W252" s="11"/>
      <c r="X252" s="11"/>
      <c r="Y252" s="11"/>
      <c r="Z252" s="11"/>
      <c r="AA252" s="11" t="s">
        <v>8</v>
      </c>
    </row>
    <row r="253" spans="2:27" ht="9.9499999999999993" customHeight="1">
      <c r="B253" s="25"/>
      <c r="D253" s="26"/>
      <c r="E253" s="27"/>
      <c r="F253" s="34"/>
      <c r="G253" s="34"/>
      <c r="H253" s="34"/>
      <c r="I253" s="34"/>
      <c r="J253" s="34"/>
      <c r="K253" s="34"/>
      <c r="L253" s="34"/>
      <c r="M253" s="34"/>
      <c r="N253" s="34"/>
      <c r="O253" s="34"/>
      <c r="P253" s="34"/>
      <c r="Q253" s="35"/>
      <c r="R253" s="35"/>
      <c r="T253" s="11"/>
      <c r="U253" s="11"/>
      <c r="V253" s="11"/>
      <c r="W253" s="11"/>
      <c r="X253" s="11"/>
      <c r="Y253" s="11"/>
      <c r="Z253" s="11"/>
      <c r="AA253" s="11"/>
    </row>
    <row r="254" spans="2:27" ht="9.9499999999999993" customHeight="1">
      <c r="B254" s="25"/>
      <c r="D254" s="26"/>
      <c r="E254" s="27"/>
      <c r="F254" s="34"/>
      <c r="G254" s="34"/>
      <c r="H254" s="34"/>
      <c r="I254" s="34"/>
      <c r="J254" s="34"/>
      <c r="K254" s="34"/>
      <c r="L254" s="34"/>
      <c r="M254" s="34"/>
      <c r="N254" s="34"/>
      <c r="O254" s="34"/>
      <c r="P254" s="34"/>
      <c r="Q254" s="35"/>
      <c r="R254" s="35"/>
      <c r="T254" s="11"/>
      <c r="U254" s="11"/>
      <c r="V254" s="11"/>
      <c r="W254" s="11"/>
      <c r="X254" s="11"/>
      <c r="Y254" s="11"/>
      <c r="Z254" s="11"/>
      <c r="AA254" s="11"/>
    </row>
    <row r="255" spans="2:27" ht="9.9499999999999993" customHeight="1">
      <c r="B255" s="25"/>
      <c r="D255" s="26"/>
      <c r="E255" s="27"/>
      <c r="F255" s="34"/>
      <c r="G255" s="34"/>
      <c r="H255" s="34"/>
      <c r="I255" s="34"/>
      <c r="J255" s="34"/>
      <c r="K255" s="34"/>
      <c r="L255" s="34"/>
      <c r="M255" s="34"/>
      <c r="N255" s="34"/>
      <c r="O255" s="34"/>
      <c r="P255" s="34"/>
      <c r="Q255" s="35"/>
      <c r="R255" s="35"/>
      <c r="T255" s="11"/>
      <c r="U255" s="11"/>
      <c r="V255" s="11"/>
      <c r="W255" s="11"/>
      <c r="X255" s="11"/>
      <c r="Y255" s="11"/>
      <c r="Z255" s="11"/>
      <c r="AA255" s="11"/>
    </row>
    <row r="256" spans="2:27" ht="9.9499999999999993" customHeight="1">
      <c r="B256" s="25"/>
      <c r="D256" s="26"/>
      <c r="E256" s="27"/>
      <c r="F256" s="34"/>
      <c r="G256" s="34"/>
      <c r="H256" s="34"/>
      <c r="I256" s="34"/>
      <c r="J256" s="34"/>
      <c r="K256" s="34"/>
      <c r="L256" s="34"/>
      <c r="M256" s="34"/>
      <c r="N256" s="34"/>
      <c r="O256" s="34"/>
      <c r="P256" s="34"/>
      <c r="Q256" s="35"/>
      <c r="R256" s="35"/>
      <c r="T256" s="11"/>
      <c r="U256" s="11"/>
      <c r="V256" s="11"/>
      <c r="W256" s="11"/>
      <c r="X256" s="11"/>
      <c r="Y256" s="11"/>
      <c r="Z256" s="11"/>
      <c r="AA256" s="11"/>
    </row>
    <row r="257" spans="2:27" ht="9.9499999999999993" customHeight="1">
      <c r="B257" s="25"/>
      <c r="D257" s="26"/>
      <c r="E257" s="27"/>
      <c r="F257" s="34"/>
      <c r="G257" s="34"/>
      <c r="H257" s="34"/>
      <c r="I257" s="34"/>
      <c r="J257" s="34"/>
      <c r="K257" s="34"/>
      <c r="L257" s="34"/>
      <c r="M257" s="34"/>
      <c r="N257" s="34"/>
      <c r="O257" s="34"/>
      <c r="P257" s="34"/>
      <c r="Q257" s="35"/>
      <c r="R257" s="35"/>
      <c r="T257" s="11"/>
      <c r="U257" s="11"/>
      <c r="V257" s="11"/>
      <c r="W257" s="11"/>
      <c r="X257" s="11"/>
      <c r="Y257" s="11"/>
      <c r="Z257" s="11"/>
      <c r="AA257" s="11"/>
    </row>
    <row r="258" spans="2:27" ht="9.9499999999999993" customHeight="1">
      <c r="B258" s="25"/>
      <c r="D258" s="26"/>
      <c r="E258" s="27"/>
      <c r="F258" s="34"/>
      <c r="G258" s="34"/>
      <c r="H258" s="34"/>
      <c r="I258" s="34"/>
      <c r="J258" s="34"/>
      <c r="K258" s="34"/>
      <c r="L258" s="34"/>
      <c r="M258" s="34"/>
      <c r="N258" s="34"/>
      <c r="O258" s="34"/>
      <c r="P258" s="34"/>
      <c r="Q258" s="35"/>
      <c r="R258" s="35"/>
      <c r="T258" s="11"/>
      <c r="U258" s="11"/>
      <c r="V258" s="11"/>
      <c r="W258" s="11"/>
      <c r="X258" s="11"/>
      <c r="Y258" s="11"/>
      <c r="Z258" s="11"/>
      <c r="AA258" s="11"/>
    </row>
    <row r="259" spans="2:27" ht="9.9499999999999993" customHeight="1">
      <c r="B259" s="28"/>
      <c r="D259" s="26"/>
      <c r="E259" s="27"/>
      <c r="F259" s="34"/>
      <c r="G259" s="34"/>
      <c r="H259" s="34"/>
      <c r="I259" s="34"/>
      <c r="J259" s="34"/>
      <c r="K259" s="34"/>
      <c r="L259" s="34"/>
      <c r="M259" s="34"/>
      <c r="N259" s="34"/>
      <c r="O259" s="34"/>
      <c r="P259" s="34"/>
      <c r="Q259" s="35"/>
      <c r="R259" s="35"/>
      <c r="T259" s="11"/>
      <c r="U259" s="11"/>
      <c r="V259" s="11"/>
      <c r="W259" s="11"/>
      <c r="X259" s="11"/>
      <c r="Y259" s="11"/>
      <c r="Z259" s="11"/>
      <c r="AA259" s="11"/>
    </row>
    <row r="260" spans="2:27" ht="9.9499999999999993" customHeight="1">
      <c r="B260" s="28"/>
      <c r="D260" s="26"/>
      <c r="E260" s="27"/>
      <c r="F260" s="34"/>
      <c r="G260" s="34"/>
      <c r="H260" s="34"/>
      <c r="I260" s="34"/>
      <c r="J260" s="34"/>
      <c r="K260" s="34"/>
      <c r="L260" s="34"/>
      <c r="M260" s="34"/>
      <c r="N260" s="34"/>
      <c r="O260" s="34"/>
      <c r="P260" s="34"/>
      <c r="Q260" s="35"/>
      <c r="R260" s="35"/>
      <c r="T260" s="11"/>
      <c r="U260" s="11"/>
      <c r="V260" s="11"/>
      <c r="W260" s="11"/>
      <c r="X260" s="11"/>
      <c r="Y260" s="11"/>
      <c r="Z260" s="11"/>
      <c r="AA260" s="11"/>
    </row>
    <row r="261" spans="2:27" ht="9.9499999999999993" customHeight="1">
      <c r="B261" s="25"/>
      <c r="D261" s="26"/>
      <c r="E261" s="27"/>
      <c r="F261" s="34"/>
      <c r="G261" s="34"/>
      <c r="H261" s="34"/>
      <c r="I261" s="34"/>
      <c r="J261" s="34"/>
      <c r="K261" s="34"/>
      <c r="L261" s="34"/>
      <c r="M261" s="34"/>
      <c r="N261" s="34"/>
      <c r="O261" s="34"/>
      <c r="P261" s="34"/>
      <c r="Q261" s="35"/>
      <c r="R261" s="35"/>
      <c r="T261" s="11"/>
      <c r="U261" s="11"/>
      <c r="V261" s="11"/>
      <c r="W261" s="11"/>
      <c r="X261" s="11"/>
      <c r="Y261" s="11"/>
      <c r="Z261" s="11"/>
      <c r="AA261" s="11"/>
    </row>
    <row r="262" spans="2:27" ht="9.9499999999999993" customHeight="1">
      <c r="F262" s="35"/>
      <c r="G262" s="35"/>
      <c r="H262" s="35"/>
      <c r="I262" s="35"/>
      <c r="J262" s="35"/>
      <c r="K262" s="35"/>
      <c r="L262" s="35"/>
      <c r="M262" s="35"/>
      <c r="N262" s="35"/>
      <c r="O262" s="35"/>
      <c r="P262" s="35"/>
      <c r="Q262" s="35"/>
      <c r="R262" s="35"/>
      <c r="T262" s="11"/>
      <c r="U262" s="11"/>
      <c r="V262" s="11"/>
      <c r="W262" s="11"/>
      <c r="X262" s="11"/>
      <c r="Y262" s="11"/>
      <c r="Z262" s="11"/>
      <c r="AA262" s="11"/>
    </row>
    <row r="263" spans="2:27" ht="9.9499999999999993" customHeight="1">
      <c r="F263" s="35"/>
      <c r="G263" s="35"/>
      <c r="H263" s="35"/>
      <c r="I263" s="35"/>
      <c r="J263" s="35"/>
      <c r="K263" s="35"/>
      <c r="L263" s="35"/>
      <c r="M263" s="35"/>
      <c r="N263" s="35"/>
      <c r="O263" s="35"/>
      <c r="P263" s="35"/>
      <c r="Q263" s="35"/>
      <c r="R263" s="35"/>
      <c r="T263" s="11"/>
      <c r="U263" s="11"/>
      <c r="V263" s="11"/>
      <c r="W263" s="11"/>
      <c r="X263" s="11"/>
      <c r="Y263" s="11"/>
      <c r="Z263" s="11"/>
      <c r="AA263" s="11"/>
    </row>
    <row r="264" spans="2:27" ht="9.9499999999999993" customHeight="1">
      <c r="B264" s="25"/>
      <c r="D264" s="26"/>
      <c r="E264" s="27"/>
      <c r="F264" s="33"/>
      <c r="G264" s="33"/>
      <c r="H264" s="33"/>
      <c r="I264" s="33"/>
      <c r="J264" s="33"/>
      <c r="K264" s="33"/>
      <c r="L264" s="33"/>
      <c r="M264" s="33"/>
      <c r="N264" s="33"/>
      <c r="O264" s="33"/>
      <c r="P264" s="33"/>
      <c r="Q264" s="35"/>
      <c r="R264" s="35"/>
      <c r="T264" s="11"/>
      <c r="U264" s="11"/>
      <c r="V264" s="11"/>
      <c r="W264" s="11"/>
      <c r="X264" s="11"/>
      <c r="Y264" s="11"/>
      <c r="Z264" s="11"/>
      <c r="AA264" s="11" t="s">
        <v>8</v>
      </c>
    </row>
    <row r="265" spans="2:27" ht="9.9499999999999993" customHeight="1">
      <c r="B265" s="25"/>
      <c r="D265" s="26"/>
      <c r="E265" s="27"/>
      <c r="F265" s="34"/>
      <c r="G265" s="34"/>
      <c r="H265" s="34"/>
      <c r="I265" s="34"/>
      <c r="J265" s="34"/>
      <c r="K265" s="34"/>
      <c r="L265" s="34"/>
      <c r="M265" s="34"/>
      <c r="N265" s="34"/>
      <c r="O265" s="34"/>
      <c r="P265" s="34"/>
      <c r="Q265" s="35"/>
      <c r="R265" s="35"/>
      <c r="T265" s="11"/>
      <c r="U265" s="11"/>
      <c r="V265" s="11"/>
      <c r="W265" s="11"/>
      <c r="X265" s="11"/>
      <c r="Y265" s="11"/>
      <c r="Z265" s="11"/>
      <c r="AA265" s="11"/>
    </row>
    <row r="266" spans="2:27" ht="9.9499999999999993" customHeight="1">
      <c r="B266" s="25"/>
      <c r="D266" s="26"/>
      <c r="E266" s="27"/>
      <c r="F266" s="34"/>
      <c r="G266" s="34"/>
      <c r="H266" s="34"/>
      <c r="I266" s="34"/>
      <c r="J266" s="34"/>
      <c r="K266" s="34"/>
      <c r="L266" s="34"/>
      <c r="M266" s="34"/>
      <c r="N266" s="34"/>
      <c r="O266" s="34"/>
      <c r="P266" s="34"/>
      <c r="Q266" s="35"/>
      <c r="R266" s="35"/>
      <c r="T266" s="11"/>
      <c r="U266" s="11"/>
      <c r="V266" s="11"/>
      <c r="W266" s="11"/>
      <c r="X266" s="11"/>
      <c r="Y266" s="11"/>
      <c r="Z266" s="11"/>
      <c r="AA266" s="11"/>
    </row>
    <row r="267" spans="2:27" ht="9.9499999999999993" customHeight="1">
      <c r="B267" s="25"/>
      <c r="D267" s="26"/>
      <c r="E267" s="27"/>
      <c r="F267" s="34"/>
      <c r="G267" s="34"/>
      <c r="H267" s="34"/>
      <c r="I267" s="34"/>
      <c r="J267" s="34"/>
      <c r="K267" s="34"/>
      <c r="L267" s="34"/>
      <c r="M267" s="34"/>
      <c r="N267" s="34"/>
      <c r="O267" s="34"/>
      <c r="P267" s="34"/>
      <c r="Q267" s="35"/>
      <c r="R267" s="35"/>
      <c r="T267" s="11"/>
      <c r="U267" s="11"/>
      <c r="V267" s="11"/>
      <c r="W267" s="11"/>
      <c r="X267" s="11"/>
      <c r="Y267" s="11"/>
      <c r="Z267" s="11"/>
      <c r="AA267" s="11"/>
    </row>
    <row r="268" spans="2:27" ht="9.9499999999999993" customHeight="1">
      <c r="B268" s="25"/>
      <c r="D268" s="26"/>
      <c r="E268" s="27"/>
      <c r="F268" s="34"/>
      <c r="G268" s="34"/>
      <c r="H268" s="34"/>
      <c r="I268" s="34"/>
      <c r="J268" s="34"/>
      <c r="K268" s="34"/>
      <c r="L268" s="34"/>
      <c r="M268" s="34"/>
      <c r="N268" s="34"/>
      <c r="O268" s="34"/>
      <c r="P268" s="34"/>
      <c r="Q268" s="35"/>
      <c r="R268" s="35"/>
      <c r="T268" s="11"/>
      <c r="U268" s="11"/>
      <c r="V268" s="11"/>
      <c r="W268" s="11"/>
      <c r="X268" s="11"/>
      <c r="Y268" s="11"/>
      <c r="Z268" s="11"/>
      <c r="AA268" s="11"/>
    </row>
    <row r="269" spans="2:27" ht="9.9499999999999993" customHeight="1">
      <c r="B269" s="25"/>
      <c r="D269" s="26"/>
      <c r="E269" s="27"/>
      <c r="F269" s="34"/>
      <c r="G269" s="34"/>
      <c r="H269" s="34"/>
      <c r="I269" s="34"/>
      <c r="J269" s="34"/>
      <c r="K269" s="34"/>
      <c r="L269" s="34"/>
      <c r="M269" s="34"/>
      <c r="N269" s="34"/>
      <c r="O269" s="34"/>
      <c r="P269" s="34"/>
      <c r="Q269" s="35"/>
      <c r="R269" s="35"/>
      <c r="T269" s="11"/>
      <c r="U269" s="11"/>
      <c r="V269" s="11"/>
      <c r="W269" s="11"/>
      <c r="X269" s="11"/>
      <c r="Y269" s="11"/>
      <c r="Z269" s="11"/>
      <c r="AA269" s="11"/>
    </row>
    <row r="270" spans="2:27" ht="9.9499999999999993" customHeight="1">
      <c r="B270" s="25"/>
      <c r="D270" s="26"/>
      <c r="E270" s="27"/>
      <c r="F270" s="34"/>
      <c r="G270" s="34"/>
      <c r="H270" s="34"/>
      <c r="I270" s="34"/>
      <c r="J270" s="34"/>
      <c r="K270" s="34"/>
      <c r="L270" s="34"/>
      <c r="M270" s="34"/>
      <c r="N270" s="34"/>
      <c r="O270" s="34"/>
      <c r="P270" s="34"/>
      <c r="Q270" s="35"/>
      <c r="R270" s="35"/>
      <c r="T270" s="11"/>
      <c r="U270" s="11"/>
      <c r="V270" s="11"/>
      <c r="W270" s="11"/>
      <c r="X270" s="11"/>
      <c r="Y270" s="11"/>
      <c r="Z270" s="11"/>
      <c r="AA270" s="11"/>
    </row>
    <row r="271" spans="2:27" ht="9.9499999999999993" customHeight="1">
      <c r="B271" s="28"/>
      <c r="D271" s="26"/>
      <c r="E271" s="27"/>
      <c r="F271" s="34"/>
      <c r="G271" s="34"/>
      <c r="H271" s="34"/>
      <c r="I271" s="34"/>
      <c r="J271" s="34"/>
      <c r="K271" s="34"/>
      <c r="L271" s="34"/>
      <c r="M271" s="34"/>
      <c r="N271" s="34"/>
      <c r="O271" s="34"/>
      <c r="P271" s="34"/>
      <c r="Q271" s="35"/>
      <c r="R271" s="35"/>
      <c r="T271" s="11"/>
      <c r="U271" s="11"/>
      <c r="V271" s="11"/>
      <c r="W271" s="11"/>
      <c r="X271" s="11"/>
      <c r="Y271" s="11"/>
      <c r="Z271" s="11"/>
      <c r="AA271" s="11"/>
    </row>
    <row r="272" spans="2:27" ht="9.9499999999999993" customHeight="1">
      <c r="B272" s="28"/>
      <c r="D272" s="26"/>
      <c r="E272" s="27"/>
      <c r="F272" s="34"/>
      <c r="G272" s="34"/>
      <c r="H272" s="34"/>
      <c r="I272" s="34"/>
      <c r="J272" s="34"/>
      <c r="K272" s="34"/>
      <c r="L272" s="34"/>
      <c r="M272" s="34"/>
      <c r="N272" s="34"/>
      <c r="O272" s="34"/>
      <c r="P272" s="34"/>
      <c r="Q272" s="35"/>
      <c r="R272" s="35"/>
      <c r="T272" s="11"/>
      <c r="U272" s="11"/>
      <c r="V272" s="11"/>
      <c r="W272" s="11"/>
      <c r="X272" s="11"/>
      <c r="Y272" s="11"/>
      <c r="Z272" s="11"/>
      <c r="AA272" s="11"/>
    </row>
    <row r="273" spans="6:27" ht="9.9499999999999993" customHeight="1">
      <c r="F273" s="44"/>
      <c r="G273" s="44"/>
      <c r="H273" s="44"/>
      <c r="I273" s="44"/>
      <c r="J273" s="44"/>
      <c r="K273" s="35"/>
      <c r="L273" s="35"/>
      <c r="M273" s="35"/>
      <c r="N273" s="35"/>
      <c r="O273" s="35"/>
      <c r="P273" s="35"/>
      <c r="Q273" s="35"/>
      <c r="R273" s="35"/>
      <c r="T273" s="11"/>
      <c r="U273" s="11"/>
      <c r="V273" s="11"/>
      <c r="W273" s="11"/>
      <c r="X273" s="11"/>
      <c r="Y273" s="11"/>
      <c r="Z273" s="11"/>
      <c r="AA273" s="11" t="s">
        <v>9</v>
      </c>
    </row>
    <row r="274" spans="6:27" ht="9.9499999999999993" customHeight="1">
      <c r="F274" s="35"/>
      <c r="G274" s="35"/>
      <c r="H274" s="35"/>
      <c r="I274" s="35"/>
      <c r="J274" s="35"/>
      <c r="K274" s="35"/>
      <c r="L274" s="35"/>
      <c r="M274" s="35"/>
      <c r="N274" s="35"/>
      <c r="O274" s="35"/>
      <c r="P274" s="35"/>
      <c r="Q274" s="35"/>
      <c r="R274" s="35"/>
    </row>
    <row r="275" spans="6:27" ht="9.9499999999999993" customHeight="1">
      <c r="F275" s="35"/>
      <c r="G275" s="35"/>
      <c r="H275" s="35"/>
      <c r="I275" s="35"/>
      <c r="J275" s="35"/>
      <c r="K275" s="35"/>
      <c r="L275" s="35"/>
      <c r="M275" s="35"/>
      <c r="N275" s="35"/>
      <c r="O275" s="35"/>
      <c r="P275" s="35"/>
      <c r="Q275" s="35"/>
      <c r="R275" s="35"/>
    </row>
    <row r="276" spans="6:27" ht="9.9499999999999993" customHeight="1">
      <c r="F276" s="35"/>
      <c r="G276" s="35"/>
      <c r="H276" s="35"/>
      <c r="I276" s="35"/>
      <c r="J276" s="35"/>
      <c r="K276" s="35"/>
      <c r="L276" s="35"/>
      <c r="M276" s="35"/>
      <c r="N276" s="35"/>
      <c r="O276" s="35"/>
      <c r="P276" s="35"/>
      <c r="Q276" s="35"/>
      <c r="R276" s="35"/>
    </row>
    <row r="277" spans="6:27" ht="9.9499999999999993" customHeight="1">
      <c r="F277" s="35"/>
      <c r="G277" s="35"/>
      <c r="H277" s="35"/>
      <c r="I277" s="35"/>
      <c r="J277" s="35"/>
      <c r="K277" s="35"/>
      <c r="L277" s="35"/>
      <c r="M277" s="35"/>
      <c r="N277" s="35"/>
      <c r="O277" s="35"/>
      <c r="P277" s="35"/>
      <c r="Q277" s="35"/>
      <c r="R277" s="35"/>
    </row>
    <row r="278" spans="6:27" ht="9.9499999999999993" customHeight="1">
      <c r="F278" s="35"/>
      <c r="G278" s="35"/>
      <c r="H278" s="35"/>
      <c r="I278" s="35"/>
      <c r="J278" s="35"/>
      <c r="K278" s="35"/>
      <c r="L278" s="35"/>
      <c r="M278" s="35"/>
      <c r="N278" s="35"/>
      <c r="O278" s="35"/>
      <c r="P278" s="35"/>
      <c r="Q278" s="35"/>
      <c r="R278" s="35"/>
    </row>
    <row r="279" spans="6:27" ht="9.9499999999999993" customHeight="1">
      <c r="F279" s="35"/>
      <c r="G279" s="35"/>
      <c r="H279" s="35"/>
      <c r="I279" s="35"/>
      <c r="J279" s="35"/>
      <c r="K279" s="35"/>
      <c r="L279" s="35"/>
      <c r="M279" s="35"/>
      <c r="N279" s="35"/>
      <c r="O279" s="35"/>
      <c r="P279" s="35"/>
      <c r="Q279" s="35"/>
      <c r="R279" s="35"/>
    </row>
    <row r="280" spans="6:27" ht="9.9499999999999993" customHeight="1">
      <c r="F280" s="35"/>
      <c r="G280" s="35"/>
      <c r="H280" s="35"/>
      <c r="I280" s="35"/>
      <c r="J280" s="35"/>
      <c r="K280" s="35"/>
      <c r="L280" s="35"/>
      <c r="M280" s="35"/>
      <c r="N280" s="35"/>
      <c r="O280" s="35"/>
      <c r="P280" s="35"/>
      <c r="Q280" s="35"/>
      <c r="R280" s="35"/>
    </row>
    <row r="281" spans="6:27" ht="9.9499999999999993" customHeight="1">
      <c r="F281" s="35"/>
      <c r="G281" s="35"/>
      <c r="H281" s="35"/>
      <c r="I281" s="35"/>
      <c r="J281" s="35"/>
      <c r="K281" s="35"/>
      <c r="L281" s="35"/>
      <c r="M281" s="35"/>
      <c r="N281" s="35"/>
      <c r="O281" s="35"/>
      <c r="P281" s="35"/>
      <c r="Q281" s="35"/>
      <c r="R281" s="35"/>
    </row>
    <row r="282" spans="6:27" ht="9.9499999999999993" customHeight="1">
      <c r="F282" s="35"/>
      <c r="G282" s="35"/>
      <c r="H282" s="35"/>
      <c r="I282" s="35"/>
      <c r="J282" s="35"/>
      <c r="K282" s="35"/>
      <c r="L282" s="35"/>
      <c r="M282" s="35"/>
      <c r="N282" s="35"/>
      <c r="O282" s="35"/>
      <c r="P282" s="35"/>
      <c r="Q282" s="35"/>
      <c r="R282" s="35"/>
    </row>
    <row r="283" spans="6:27" ht="9.9499999999999993" customHeight="1">
      <c r="F283" s="35"/>
      <c r="G283" s="35"/>
      <c r="H283" s="35"/>
      <c r="I283" s="35"/>
      <c r="J283" s="35"/>
      <c r="K283" s="35"/>
      <c r="L283" s="35"/>
      <c r="M283" s="35"/>
      <c r="N283" s="35"/>
      <c r="O283" s="35"/>
      <c r="P283" s="35"/>
      <c r="Q283" s="35"/>
      <c r="R283" s="35"/>
    </row>
    <row r="284" spans="6:27" ht="9.9499999999999993" customHeight="1">
      <c r="F284" s="35"/>
      <c r="G284" s="35"/>
      <c r="H284" s="35"/>
      <c r="I284" s="35"/>
      <c r="J284" s="35"/>
      <c r="K284" s="35"/>
      <c r="L284" s="35"/>
      <c r="M284" s="35"/>
      <c r="N284" s="35"/>
      <c r="O284" s="35"/>
      <c r="P284" s="35"/>
      <c r="Q284" s="35"/>
      <c r="R284" s="35"/>
    </row>
    <row r="285" spans="6:27" ht="9.9499999999999993" customHeight="1">
      <c r="F285" s="35"/>
      <c r="G285" s="35"/>
      <c r="H285" s="35"/>
      <c r="I285" s="35"/>
      <c r="J285" s="35"/>
      <c r="K285" s="35"/>
      <c r="L285" s="35"/>
      <c r="M285" s="35"/>
      <c r="N285" s="35"/>
      <c r="O285" s="35"/>
      <c r="P285" s="35"/>
      <c r="Q285" s="35"/>
      <c r="R285" s="35"/>
    </row>
    <row r="286" spans="6:27" ht="9.9499999999999993" customHeight="1">
      <c r="F286" s="35"/>
      <c r="G286" s="35"/>
      <c r="H286" s="35"/>
      <c r="I286" s="35"/>
      <c r="J286" s="35"/>
      <c r="K286" s="35"/>
      <c r="L286" s="35"/>
      <c r="M286" s="35"/>
      <c r="N286" s="35"/>
      <c r="O286" s="35"/>
      <c r="P286" s="35"/>
      <c r="Q286" s="35"/>
      <c r="R286" s="35"/>
    </row>
    <row r="287" spans="6:27" ht="9.9499999999999993" customHeight="1">
      <c r="F287" s="35"/>
      <c r="G287" s="35"/>
      <c r="H287" s="35"/>
      <c r="I287" s="35"/>
      <c r="J287" s="35"/>
      <c r="K287" s="35"/>
      <c r="L287" s="35"/>
      <c r="M287" s="35"/>
      <c r="N287" s="35"/>
      <c r="O287" s="35"/>
      <c r="P287" s="35"/>
      <c r="Q287" s="35"/>
      <c r="R287" s="35"/>
    </row>
    <row r="288" spans="6:27" ht="9.9499999999999993" customHeight="1">
      <c r="F288" s="35"/>
      <c r="G288" s="35"/>
      <c r="H288" s="35"/>
      <c r="I288" s="35"/>
      <c r="J288" s="35"/>
      <c r="K288" s="35"/>
      <c r="L288" s="35"/>
      <c r="M288" s="35"/>
      <c r="N288" s="35"/>
      <c r="O288" s="35"/>
      <c r="P288" s="35"/>
      <c r="Q288" s="35"/>
      <c r="R288" s="35"/>
    </row>
    <row r="289" spans="2:27" ht="9.9499999999999993" customHeight="1">
      <c r="F289" s="35"/>
      <c r="G289" s="35"/>
      <c r="H289" s="35"/>
      <c r="I289" s="35"/>
      <c r="J289" s="35"/>
      <c r="K289" s="35"/>
      <c r="L289" s="35"/>
      <c r="M289" s="35"/>
      <c r="N289" s="35"/>
      <c r="O289" s="35"/>
      <c r="P289" s="35"/>
      <c r="Q289" s="35"/>
      <c r="R289" s="35"/>
    </row>
    <row r="290" spans="2:27" ht="9.9499999999999993" customHeight="1">
      <c r="F290" s="35"/>
      <c r="G290" s="35"/>
      <c r="H290" s="35"/>
      <c r="I290" s="35"/>
      <c r="J290" s="35"/>
      <c r="K290" s="35"/>
      <c r="L290" s="35"/>
      <c r="M290" s="35"/>
      <c r="N290" s="35"/>
      <c r="O290" s="35"/>
      <c r="P290" s="35"/>
      <c r="Q290" s="35"/>
      <c r="R290" s="35"/>
    </row>
    <row r="291" spans="2:27" ht="9.9499999999999993" customHeight="1">
      <c r="F291" s="35"/>
      <c r="G291" s="35"/>
      <c r="H291" s="35"/>
      <c r="I291" s="35"/>
      <c r="J291" s="35"/>
      <c r="K291" s="35"/>
      <c r="L291" s="35"/>
      <c r="M291" s="35"/>
      <c r="N291" s="35"/>
      <c r="O291" s="35"/>
      <c r="P291" s="35"/>
      <c r="Q291" s="35"/>
      <c r="R291" s="35"/>
    </row>
    <row r="292" spans="2:27" ht="9.9499999999999993" customHeight="1">
      <c r="F292" s="35"/>
      <c r="G292" s="35"/>
      <c r="H292" s="35"/>
      <c r="I292" s="35"/>
      <c r="J292" s="35"/>
      <c r="K292" s="35"/>
      <c r="L292" s="35"/>
      <c r="M292" s="35"/>
      <c r="N292" s="35"/>
      <c r="O292" s="35"/>
      <c r="P292" s="35"/>
      <c r="Q292" s="35"/>
      <c r="R292" s="35"/>
    </row>
    <row r="293" spans="2:27" ht="9.9499999999999993" customHeight="1">
      <c r="F293" s="35"/>
      <c r="G293" s="35"/>
      <c r="H293" s="35"/>
      <c r="I293" s="35"/>
      <c r="J293" s="35"/>
      <c r="K293" s="35"/>
      <c r="L293" s="35"/>
      <c r="M293" s="35"/>
      <c r="N293" s="35"/>
      <c r="O293" s="35"/>
      <c r="P293" s="35"/>
      <c r="Q293" s="35"/>
      <c r="R293" s="35"/>
    </row>
    <row r="294" spans="2:27" ht="9.9499999999999993" customHeight="1">
      <c r="F294" s="35"/>
      <c r="G294" s="35"/>
      <c r="H294" s="35"/>
      <c r="I294" s="35"/>
      <c r="J294" s="35"/>
      <c r="K294" s="35"/>
      <c r="L294" s="35"/>
      <c r="M294" s="35"/>
      <c r="N294" s="35"/>
      <c r="O294" s="35"/>
      <c r="P294" s="35"/>
      <c r="Q294" s="35"/>
      <c r="R294" s="35"/>
    </row>
    <row r="295" spans="2:27" ht="9.9499999999999993" customHeight="1">
      <c r="F295" s="35"/>
      <c r="G295" s="35"/>
      <c r="H295" s="35"/>
      <c r="I295" s="35"/>
      <c r="J295" s="35"/>
      <c r="K295" s="35"/>
      <c r="L295" s="35"/>
      <c r="M295" s="35"/>
      <c r="N295" s="35"/>
      <c r="O295" s="35"/>
      <c r="P295" s="35"/>
      <c r="Q295" s="35"/>
      <c r="R295" s="35"/>
    </row>
    <row r="296" spans="2:27" ht="9.9499999999999993" customHeight="1">
      <c r="F296" s="35"/>
      <c r="G296" s="35"/>
      <c r="H296" s="35"/>
      <c r="I296" s="35"/>
      <c r="J296" s="35"/>
      <c r="K296" s="35"/>
      <c r="L296" s="35"/>
      <c r="M296" s="35"/>
      <c r="N296" s="35"/>
      <c r="O296" s="35"/>
      <c r="P296" s="35"/>
      <c r="Q296" s="35"/>
      <c r="R296" s="35"/>
    </row>
    <row r="297" spans="2:27" ht="9.9499999999999993" customHeight="1">
      <c r="F297" s="35"/>
      <c r="G297" s="35"/>
      <c r="H297" s="35"/>
      <c r="I297" s="35"/>
      <c r="J297" s="35"/>
      <c r="K297" s="35"/>
      <c r="L297" s="35"/>
      <c r="M297" s="35"/>
      <c r="N297" s="35"/>
      <c r="O297" s="35"/>
      <c r="P297" s="35"/>
      <c r="Q297" s="35"/>
      <c r="R297" s="35"/>
    </row>
    <row r="298" spans="2:27" ht="9.9499999999999993" customHeight="1">
      <c r="F298" s="35"/>
      <c r="G298" s="35"/>
      <c r="H298" s="35"/>
      <c r="I298" s="35"/>
      <c r="J298" s="35"/>
      <c r="K298" s="35"/>
      <c r="L298" s="35"/>
      <c r="M298" s="35"/>
      <c r="N298" s="35"/>
      <c r="O298" s="35"/>
      <c r="P298" s="35"/>
      <c r="Q298" s="35"/>
      <c r="R298" s="35"/>
    </row>
    <row r="299" spans="2:27" ht="9.9499999999999993" customHeight="1">
      <c r="F299" s="35"/>
      <c r="G299" s="35"/>
      <c r="H299" s="35"/>
      <c r="I299" s="35"/>
      <c r="J299" s="35"/>
      <c r="K299" s="35"/>
      <c r="L299" s="35"/>
      <c r="M299" s="35"/>
      <c r="N299" s="35"/>
      <c r="O299" s="35"/>
      <c r="P299" s="35"/>
      <c r="Q299" s="35"/>
      <c r="R299" s="35"/>
    </row>
    <row r="300" spans="2:27" ht="9.9499999999999993" customHeight="1">
      <c r="F300" s="35"/>
      <c r="G300" s="35"/>
      <c r="H300" s="35"/>
      <c r="I300" s="35"/>
      <c r="J300" s="35"/>
      <c r="K300" s="35"/>
      <c r="L300" s="35"/>
      <c r="M300" s="35"/>
      <c r="N300" s="35"/>
      <c r="O300" s="35"/>
      <c r="P300" s="35"/>
      <c r="Q300" s="35"/>
      <c r="R300" s="35"/>
    </row>
    <row r="301" spans="2:27" ht="9.9499999999999993" customHeight="1">
      <c r="F301" s="35"/>
      <c r="G301" s="35"/>
      <c r="H301" s="35"/>
      <c r="I301" s="35"/>
      <c r="J301" s="35"/>
      <c r="K301" s="35"/>
      <c r="L301" s="35"/>
      <c r="M301" s="35"/>
      <c r="N301" s="35"/>
      <c r="O301" s="35"/>
      <c r="P301" s="35"/>
      <c r="Q301" s="35"/>
      <c r="R301" s="35"/>
      <c r="AA301" t="s">
        <v>7</v>
      </c>
    </row>
    <row r="302" spans="2:27" ht="9.9499999999999993" customHeight="1">
      <c r="F302" s="35"/>
      <c r="G302" s="35"/>
      <c r="H302" s="35"/>
      <c r="I302" s="35"/>
      <c r="J302" s="35"/>
      <c r="K302" s="35"/>
      <c r="L302" s="35"/>
      <c r="M302" s="35"/>
      <c r="N302" s="35"/>
      <c r="O302" s="35"/>
      <c r="P302" s="35"/>
      <c r="Q302" s="35"/>
      <c r="R302" s="35"/>
    </row>
    <row r="303" spans="2:27" ht="9.9499999999999993" customHeight="1">
      <c r="F303" s="35"/>
      <c r="G303" s="35"/>
      <c r="H303" s="35"/>
      <c r="I303" s="35"/>
      <c r="J303" s="35"/>
      <c r="K303" s="35"/>
      <c r="L303" s="35"/>
      <c r="M303" s="35"/>
      <c r="N303" s="35"/>
      <c r="O303" s="35"/>
      <c r="P303" s="35"/>
      <c r="Q303" s="35"/>
      <c r="R303" s="35"/>
    </row>
    <row r="304" spans="2:27" ht="9.9499999999999993" customHeight="1">
      <c r="B304" s="25"/>
      <c r="D304" s="26"/>
      <c r="E304" s="27"/>
      <c r="F304" s="33"/>
      <c r="G304" s="33"/>
      <c r="H304" s="33"/>
      <c r="I304" s="33"/>
      <c r="J304" s="33"/>
      <c r="K304" s="33"/>
      <c r="L304" s="33"/>
      <c r="M304" s="33"/>
      <c r="N304" s="33"/>
      <c r="O304" s="33"/>
      <c r="P304" s="33"/>
      <c r="Q304" s="35"/>
      <c r="R304" s="35"/>
      <c r="AA304" t="s">
        <v>8</v>
      </c>
    </row>
    <row r="305" spans="2:27" ht="9.9499999999999993" customHeight="1">
      <c r="B305" s="25"/>
      <c r="D305" s="26"/>
      <c r="E305" s="27"/>
      <c r="F305" s="34"/>
      <c r="G305" s="34"/>
      <c r="H305" s="34"/>
      <c r="I305" s="34"/>
      <c r="J305" s="34"/>
      <c r="K305" s="34"/>
      <c r="L305" s="34"/>
      <c r="M305" s="34"/>
      <c r="N305" s="34"/>
      <c r="O305" s="34"/>
      <c r="P305" s="34"/>
      <c r="Q305" s="35"/>
      <c r="R305" s="35"/>
    </row>
    <row r="306" spans="2:27" ht="9.9499999999999993" customHeight="1">
      <c r="B306" s="25"/>
      <c r="D306" s="26"/>
      <c r="E306" s="27"/>
      <c r="F306" s="34"/>
      <c r="G306" s="34"/>
      <c r="H306" s="34"/>
      <c r="I306" s="34"/>
      <c r="J306" s="34"/>
      <c r="K306" s="34"/>
      <c r="L306" s="34"/>
      <c r="M306" s="34"/>
      <c r="N306" s="34"/>
      <c r="O306" s="34"/>
      <c r="P306" s="34"/>
      <c r="Q306" s="35"/>
      <c r="R306" s="35"/>
    </row>
    <row r="307" spans="2:27" ht="9.9499999999999993" customHeight="1">
      <c r="B307" s="25"/>
      <c r="D307" s="26"/>
      <c r="E307" s="27"/>
      <c r="F307" s="34"/>
      <c r="G307" s="34"/>
      <c r="H307" s="34"/>
      <c r="I307" s="34"/>
      <c r="J307" s="34"/>
      <c r="K307" s="34"/>
      <c r="L307" s="34"/>
      <c r="M307" s="34"/>
      <c r="N307" s="34"/>
      <c r="O307" s="34"/>
      <c r="P307" s="34"/>
      <c r="Q307" s="35"/>
      <c r="R307" s="35"/>
    </row>
    <row r="308" spans="2:27" ht="9.9499999999999993" customHeight="1">
      <c r="B308" s="25"/>
      <c r="D308" s="26"/>
      <c r="E308" s="27"/>
      <c r="F308" s="34"/>
      <c r="G308" s="34"/>
      <c r="H308" s="34"/>
      <c r="I308" s="34"/>
      <c r="J308" s="34"/>
      <c r="K308" s="34"/>
      <c r="L308" s="34"/>
      <c r="M308" s="34"/>
      <c r="N308" s="34"/>
      <c r="O308" s="34"/>
      <c r="P308" s="34"/>
      <c r="Q308" s="35"/>
      <c r="R308" s="35"/>
    </row>
    <row r="309" spans="2:27" ht="9.9499999999999993" customHeight="1">
      <c r="B309" s="25"/>
      <c r="D309" s="26"/>
      <c r="E309" s="27"/>
      <c r="F309" s="34"/>
      <c r="G309" s="34"/>
      <c r="H309" s="34"/>
      <c r="I309" s="34"/>
      <c r="J309" s="34"/>
      <c r="K309" s="34"/>
      <c r="L309" s="34"/>
      <c r="M309" s="34"/>
      <c r="N309" s="34"/>
      <c r="O309" s="34"/>
      <c r="P309" s="34"/>
      <c r="Q309" s="35"/>
      <c r="R309" s="35"/>
    </row>
    <row r="310" spans="2:27" ht="9.9499999999999993" customHeight="1">
      <c r="B310" s="25"/>
      <c r="D310" s="26"/>
      <c r="E310" s="27"/>
      <c r="F310" s="34"/>
      <c r="G310" s="34"/>
      <c r="H310" s="34"/>
      <c r="I310" s="34"/>
      <c r="J310" s="34"/>
      <c r="K310" s="34"/>
      <c r="L310" s="34"/>
      <c r="M310" s="34"/>
      <c r="N310" s="34"/>
      <c r="O310" s="34"/>
      <c r="P310" s="34"/>
      <c r="Q310" s="35"/>
      <c r="R310" s="35"/>
    </row>
    <row r="311" spans="2:27" ht="9.9499999999999993" customHeight="1">
      <c r="B311" s="28"/>
      <c r="D311" s="26"/>
      <c r="E311" s="27"/>
      <c r="F311" s="34"/>
      <c r="G311" s="34"/>
      <c r="H311" s="34"/>
      <c r="I311" s="34"/>
      <c r="J311" s="34"/>
      <c r="K311" s="34"/>
      <c r="L311" s="34"/>
      <c r="M311" s="34"/>
      <c r="N311" s="34"/>
      <c r="O311" s="34"/>
      <c r="P311" s="34"/>
      <c r="Q311" s="35"/>
      <c r="R311" s="35"/>
    </row>
    <row r="312" spans="2:27" ht="9.9499999999999993" customHeight="1">
      <c r="B312" s="28"/>
      <c r="D312" s="26"/>
      <c r="E312" s="27"/>
      <c r="F312" s="34"/>
      <c r="G312" s="34"/>
      <c r="H312" s="34"/>
      <c r="I312" s="34"/>
      <c r="J312" s="34"/>
      <c r="K312" s="34"/>
      <c r="L312" s="34"/>
      <c r="M312" s="34"/>
      <c r="N312" s="34"/>
      <c r="O312" s="34"/>
      <c r="P312" s="34"/>
      <c r="Q312" s="35"/>
      <c r="R312" s="35"/>
    </row>
    <row r="313" spans="2:27" ht="9.9499999999999993" customHeight="1">
      <c r="F313" s="44"/>
      <c r="G313" s="44"/>
      <c r="H313" s="44"/>
      <c r="I313" s="44"/>
      <c r="J313" s="44"/>
      <c r="K313" s="35"/>
      <c r="L313" s="35"/>
      <c r="M313" s="35"/>
      <c r="N313" s="35"/>
      <c r="O313" s="35"/>
      <c r="P313" s="35"/>
      <c r="Q313" s="35"/>
      <c r="R313" s="35"/>
    </row>
    <row r="314" spans="2:27" ht="9.9499999999999993" customHeight="1">
      <c r="F314" s="35"/>
      <c r="G314" s="35"/>
      <c r="H314" s="35"/>
      <c r="I314" s="35"/>
      <c r="J314" s="35"/>
      <c r="K314" s="35"/>
      <c r="L314" s="35"/>
      <c r="M314" s="35"/>
      <c r="N314" s="35"/>
      <c r="O314" s="35"/>
      <c r="P314" s="35"/>
      <c r="Q314" s="35"/>
      <c r="R314" s="35"/>
    </row>
    <row r="315" spans="2:27" ht="9.9499999999999993" customHeight="1">
      <c r="F315" s="35"/>
      <c r="G315" s="35"/>
      <c r="H315" s="35"/>
      <c r="I315" s="35"/>
      <c r="J315" s="35"/>
      <c r="K315" s="35"/>
      <c r="L315" s="35"/>
      <c r="M315" s="35"/>
      <c r="N315" s="35"/>
      <c r="O315" s="35"/>
      <c r="P315" s="35"/>
      <c r="Q315" s="35"/>
      <c r="R315" s="35"/>
    </row>
    <row r="316" spans="2:27" ht="9.9499999999999993" customHeight="1">
      <c r="B316" s="25"/>
      <c r="D316" s="26"/>
      <c r="E316" s="27"/>
      <c r="F316" s="33"/>
      <c r="G316" s="33"/>
      <c r="H316" s="33"/>
      <c r="I316" s="33"/>
      <c r="J316" s="33"/>
      <c r="K316" s="33"/>
      <c r="L316" s="33"/>
      <c r="M316" s="33"/>
      <c r="N316" s="33"/>
      <c r="O316" s="33"/>
      <c r="P316" s="33"/>
      <c r="Q316" s="35"/>
      <c r="R316" s="35"/>
      <c r="AA316" t="s">
        <v>8</v>
      </c>
    </row>
    <row r="317" spans="2:27" ht="9.9499999999999993" customHeight="1">
      <c r="B317" s="25"/>
      <c r="D317" s="26"/>
      <c r="E317" s="27"/>
      <c r="F317" s="34"/>
      <c r="G317" s="34"/>
      <c r="H317" s="34"/>
      <c r="I317" s="34"/>
      <c r="J317" s="34"/>
      <c r="K317" s="34"/>
      <c r="L317" s="34"/>
      <c r="M317" s="34"/>
      <c r="N317" s="34"/>
      <c r="O317" s="34"/>
      <c r="P317" s="34"/>
      <c r="Q317" s="35"/>
      <c r="R317" s="35"/>
    </row>
    <row r="318" spans="2:27" ht="9.9499999999999993" customHeight="1">
      <c r="B318" s="25"/>
      <c r="D318" s="26"/>
      <c r="E318" s="27"/>
      <c r="F318" s="34"/>
      <c r="G318" s="34"/>
      <c r="H318" s="34"/>
      <c r="I318" s="34"/>
      <c r="J318" s="34"/>
      <c r="K318" s="34"/>
      <c r="L318" s="34"/>
      <c r="M318" s="34"/>
      <c r="N318" s="34"/>
      <c r="O318" s="34"/>
      <c r="P318" s="34"/>
      <c r="Q318" s="35"/>
      <c r="R318" s="35"/>
    </row>
    <row r="319" spans="2:27" ht="9.9499999999999993" customHeight="1">
      <c r="B319" s="25"/>
      <c r="D319" s="26"/>
      <c r="E319" s="27"/>
      <c r="F319" s="34"/>
      <c r="G319" s="34"/>
      <c r="H319" s="34"/>
      <c r="I319" s="34"/>
      <c r="J319" s="34"/>
      <c r="K319" s="34"/>
      <c r="L319" s="34"/>
      <c r="M319" s="34"/>
      <c r="N319" s="34"/>
      <c r="O319" s="34"/>
      <c r="P319" s="34"/>
      <c r="Q319" s="35"/>
      <c r="R319" s="35"/>
    </row>
    <row r="320" spans="2:27" ht="9.9499999999999993" customHeight="1">
      <c r="B320" s="25"/>
      <c r="D320" s="26"/>
      <c r="E320" s="27"/>
      <c r="F320" s="34"/>
      <c r="G320" s="34"/>
      <c r="H320" s="34"/>
      <c r="I320" s="34"/>
      <c r="J320" s="34"/>
      <c r="K320" s="34"/>
      <c r="L320" s="34"/>
      <c r="M320" s="34"/>
      <c r="N320" s="34"/>
      <c r="O320" s="34"/>
      <c r="P320" s="34"/>
      <c r="Q320" s="35"/>
      <c r="R320" s="35"/>
    </row>
    <row r="321" spans="2:27" ht="9.9499999999999993" customHeight="1">
      <c r="B321" s="25"/>
      <c r="D321" s="26"/>
      <c r="E321" s="27"/>
      <c r="F321" s="34"/>
      <c r="G321" s="34"/>
      <c r="H321" s="34"/>
      <c r="I321" s="34"/>
      <c r="J321" s="34"/>
      <c r="K321" s="34"/>
      <c r="L321" s="34"/>
      <c r="M321" s="34"/>
      <c r="N321" s="34"/>
      <c r="O321" s="34"/>
      <c r="P321" s="34"/>
      <c r="Q321" s="35"/>
      <c r="R321" s="35"/>
    </row>
    <row r="322" spans="2:27" ht="9.9499999999999993" customHeight="1">
      <c r="B322" s="25"/>
      <c r="D322" s="26"/>
      <c r="E322" s="27"/>
      <c r="F322" s="34"/>
      <c r="G322" s="34"/>
      <c r="H322" s="34"/>
      <c r="I322" s="34"/>
      <c r="J322" s="34"/>
      <c r="K322" s="34"/>
      <c r="L322" s="34"/>
      <c r="M322" s="34"/>
      <c r="N322" s="34"/>
      <c r="O322" s="34"/>
      <c r="P322" s="34"/>
      <c r="Q322" s="35"/>
      <c r="R322" s="35"/>
    </row>
    <row r="323" spans="2:27" ht="9.9499999999999993" customHeight="1">
      <c r="B323" s="28"/>
      <c r="D323" s="26"/>
      <c r="E323" s="27"/>
      <c r="F323" s="34"/>
      <c r="G323" s="34"/>
      <c r="H323" s="34"/>
      <c r="I323" s="34"/>
      <c r="J323" s="34"/>
      <c r="K323" s="34"/>
      <c r="L323" s="34"/>
      <c r="M323" s="34"/>
      <c r="N323" s="34"/>
      <c r="O323" s="34"/>
      <c r="P323" s="34"/>
      <c r="Q323" s="35"/>
      <c r="R323" s="35"/>
    </row>
    <row r="324" spans="2:27" ht="9.9499999999999993" customHeight="1">
      <c r="B324" s="28"/>
      <c r="D324" s="26"/>
      <c r="E324" s="27"/>
      <c r="F324" s="34"/>
      <c r="G324" s="34"/>
      <c r="H324" s="34"/>
      <c r="I324" s="34"/>
      <c r="J324" s="34"/>
      <c r="K324" s="34"/>
      <c r="L324" s="34"/>
      <c r="M324" s="34"/>
      <c r="N324" s="34"/>
      <c r="O324" s="34"/>
      <c r="P324" s="34"/>
      <c r="Q324" s="35"/>
      <c r="R324" s="35"/>
    </row>
    <row r="325" spans="2:27" ht="9.9499999999999993" customHeight="1">
      <c r="F325" s="44"/>
      <c r="G325" s="44"/>
      <c r="H325" s="44"/>
      <c r="I325" s="44"/>
      <c r="J325" s="44"/>
      <c r="K325" s="35"/>
      <c r="L325" s="35"/>
      <c r="M325" s="35"/>
      <c r="N325" s="35"/>
      <c r="O325" s="35"/>
      <c r="P325" s="35"/>
      <c r="Q325" s="35"/>
      <c r="R325" s="35"/>
    </row>
    <row r="326" spans="2:27" ht="9.9499999999999993" customHeight="1">
      <c r="F326" s="35"/>
      <c r="G326" s="35"/>
      <c r="H326" s="35"/>
      <c r="I326" s="35"/>
      <c r="J326" s="35"/>
      <c r="K326" s="35"/>
      <c r="L326" s="35"/>
      <c r="M326" s="35"/>
      <c r="N326" s="35"/>
      <c r="O326" s="35"/>
      <c r="P326" s="35"/>
      <c r="Q326" s="35"/>
      <c r="R326" s="35"/>
    </row>
    <row r="327" spans="2:27" ht="9.9499999999999993" customHeight="1">
      <c r="F327" s="35"/>
      <c r="G327" s="35"/>
      <c r="H327" s="35"/>
      <c r="I327" s="35"/>
      <c r="J327" s="35"/>
      <c r="K327" s="35"/>
      <c r="L327" s="35"/>
      <c r="M327" s="35"/>
      <c r="N327" s="35"/>
      <c r="O327" s="35"/>
      <c r="P327" s="35"/>
      <c r="Q327" s="35"/>
      <c r="R327" s="35"/>
    </row>
    <row r="328" spans="2:27" ht="9.9499999999999993" customHeight="1">
      <c r="B328" s="25"/>
      <c r="D328" s="26"/>
      <c r="E328" s="27"/>
      <c r="F328" s="33"/>
      <c r="G328" s="33"/>
      <c r="H328" s="33"/>
      <c r="I328" s="33"/>
      <c r="J328" s="33"/>
      <c r="K328" s="33"/>
      <c r="L328" s="33"/>
      <c r="M328" s="33"/>
      <c r="N328" s="33"/>
      <c r="O328" s="33"/>
      <c r="P328" s="33"/>
      <c r="Q328" s="35"/>
      <c r="R328" s="35"/>
      <c r="AA328" t="s">
        <v>8</v>
      </c>
    </row>
    <row r="329" spans="2:27" ht="9.9499999999999993" customHeight="1">
      <c r="B329" s="25"/>
      <c r="D329" s="26"/>
      <c r="E329" s="27"/>
      <c r="F329" s="34"/>
      <c r="G329" s="34"/>
      <c r="H329" s="34"/>
      <c r="I329" s="34"/>
      <c r="J329" s="34"/>
      <c r="K329" s="34"/>
      <c r="L329" s="34"/>
      <c r="M329" s="34"/>
      <c r="N329" s="34"/>
      <c r="O329" s="34"/>
      <c r="P329" s="34"/>
      <c r="Q329" s="35"/>
      <c r="R329" s="35"/>
    </row>
    <row r="330" spans="2:27" ht="9.9499999999999993" customHeight="1">
      <c r="B330" s="25"/>
      <c r="D330" s="26"/>
      <c r="E330" s="27"/>
      <c r="F330" s="34"/>
      <c r="G330" s="34"/>
      <c r="H330" s="34"/>
      <c r="I330" s="34"/>
      <c r="J330" s="34"/>
      <c r="K330" s="34"/>
      <c r="L330" s="34"/>
      <c r="M330" s="34"/>
      <c r="N330" s="34"/>
      <c r="O330" s="34"/>
      <c r="P330" s="34"/>
      <c r="Q330" s="35"/>
      <c r="R330" s="35"/>
    </row>
    <row r="331" spans="2:27" ht="9.9499999999999993" customHeight="1">
      <c r="B331" s="25"/>
      <c r="D331" s="26"/>
      <c r="E331" s="27"/>
      <c r="F331" s="34"/>
      <c r="G331" s="34"/>
      <c r="H331" s="34"/>
      <c r="I331" s="34"/>
      <c r="J331" s="34"/>
      <c r="K331" s="34"/>
      <c r="L331" s="34"/>
      <c r="M331" s="34"/>
      <c r="N331" s="34"/>
      <c r="O331" s="34"/>
      <c r="P331" s="34"/>
      <c r="Q331" s="35"/>
      <c r="R331" s="35"/>
    </row>
    <row r="332" spans="2:27" ht="9.9499999999999993" customHeight="1">
      <c r="B332" s="25"/>
      <c r="D332" s="26"/>
      <c r="E332" s="27"/>
      <c r="F332" s="34"/>
      <c r="G332" s="34"/>
      <c r="H332" s="34"/>
      <c r="I332" s="34"/>
      <c r="J332" s="34"/>
      <c r="K332" s="34"/>
      <c r="L332" s="34"/>
      <c r="M332" s="34"/>
      <c r="N332" s="34"/>
      <c r="O332" s="34"/>
      <c r="P332" s="34"/>
      <c r="Q332" s="35"/>
      <c r="R332" s="35"/>
    </row>
    <row r="333" spans="2:27" ht="9.9499999999999993" customHeight="1">
      <c r="B333" s="25"/>
      <c r="D333" s="26"/>
      <c r="E333" s="27"/>
      <c r="F333" s="34"/>
      <c r="G333" s="34"/>
      <c r="H333" s="34"/>
      <c r="I333" s="34"/>
      <c r="J333" s="34"/>
      <c r="K333" s="34"/>
      <c r="L333" s="34"/>
      <c r="M333" s="34"/>
      <c r="N333" s="34"/>
      <c r="O333" s="34"/>
      <c r="P333" s="34"/>
      <c r="Q333" s="35"/>
      <c r="R333" s="35"/>
    </row>
    <row r="334" spans="2:27" ht="9.9499999999999993" customHeight="1">
      <c r="B334" s="25"/>
      <c r="D334" s="26"/>
      <c r="E334" s="27"/>
      <c r="F334" s="34"/>
      <c r="G334" s="34"/>
      <c r="H334" s="34"/>
      <c r="I334" s="34"/>
      <c r="J334" s="34"/>
      <c r="K334" s="34"/>
      <c r="L334" s="34"/>
      <c r="M334" s="34"/>
      <c r="N334" s="34"/>
      <c r="O334" s="34"/>
      <c r="P334" s="34"/>
      <c r="Q334" s="35"/>
      <c r="R334" s="35"/>
    </row>
    <row r="335" spans="2:27" ht="9.9499999999999993" customHeight="1">
      <c r="B335" s="28"/>
      <c r="D335" s="26"/>
      <c r="E335" s="27"/>
      <c r="F335" s="34"/>
      <c r="G335" s="34"/>
      <c r="H335" s="34"/>
      <c r="I335" s="34"/>
      <c r="J335" s="34"/>
      <c r="K335" s="34"/>
      <c r="L335" s="34"/>
      <c r="M335" s="34"/>
      <c r="N335" s="34"/>
      <c r="O335" s="34"/>
      <c r="P335" s="34"/>
      <c r="Q335" s="35"/>
      <c r="R335" s="35"/>
    </row>
    <row r="336" spans="2:27" ht="9.9499999999999993" customHeight="1">
      <c r="B336" s="28"/>
      <c r="D336" s="26"/>
      <c r="E336" s="27"/>
      <c r="F336" s="34"/>
      <c r="G336" s="34"/>
      <c r="H336" s="34"/>
      <c r="I336" s="34"/>
      <c r="J336" s="34"/>
      <c r="K336" s="34"/>
      <c r="L336" s="34"/>
      <c r="M336" s="34"/>
      <c r="N336" s="34"/>
      <c r="O336" s="34"/>
      <c r="P336" s="34"/>
      <c r="Q336" s="35"/>
      <c r="R336" s="35"/>
    </row>
    <row r="337" spans="2:27" ht="9.9499999999999993" customHeight="1">
      <c r="F337" s="44"/>
      <c r="G337" s="44"/>
      <c r="H337" s="44"/>
      <c r="I337" s="44"/>
      <c r="J337" s="44"/>
      <c r="K337" s="35"/>
      <c r="L337" s="35"/>
      <c r="M337" s="35"/>
      <c r="N337" s="35"/>
      <c r="O337" s="35"/>
      <c r="P337" s="35"/>
      <c r="Q337" s="35"/>
      <c r="R337" s="35"/>
    </row>
    <row r="338" spans="2:27" ht="9.9499999999999993" customHeight="1">
      <c r="F338" s="35"/>
      <c r="G338" s="35"/>
      <c r="H338" s="35"/>
      <c r="I338" s="35"/>
      <c r="J338" s="35"/>
      <c r="K338" s="35"/>
      <c r="L338" s="35"/>
      <c r="M338" s="35"/>
      <c r="N338" s="35"/>
      <c r="O338" s="35"/>
      <c r="P338" s="35"/>
      <c r="Q338" s="35"/>
      <c r="R338" s="35"/>
    </row>
    <row r="339" spans="2:27" ht="9.9499999999999993" customHeight="1">
      <c r="F339" s="35"/>
      <c r="G339" s="35"/>
      <c r="H339" s="35"/>
      <c r="I339" s="35"/>
      <c r="J339" s="35"/>
      <c r="K339" s="35"/>
      <c r="L339" s="35"/>
      <c r="M339" s="35"/>
      <c r="N339" s="35"/>
      <c r="O339" s="35"/>
      <c r="P339" s="35"/>
      <c r="Q339" s="35"/>
      <c r="R339" s="35"/>
    </row>
    <row r="340" spans="2:27" ht="9.9499999999999993" customHeight="1">
      <c r="B340" s="25"/>
      <c r="D340" s="26"/>
      <c r="E340" s="27"/>
      <c r="F340" s="33"/>
      <c r="G340" s="33"/>
      <c r="H340" s="33"/>
      <c r="I340" s="33"/>
      <c r="J340" s="33"/>
      <c r="K340" s="33"/>
      <c r="L340" s="33"/>
      <c r="M340" s="33"/>
      <c r="N340" s="33"/>
      <c r="O340" s="33"/>
      <c r="P340" s="33"/>
      <c r="Q340" s="35"/>
      <c r="R340" s="35"/>
      <c r="AA340" t="s">
        <v>8</v>
      </c>
    </row>
    <row r="341" spans="2:27" ht="9.9499999999999993" customHeight="1">
      <c r="B341" s="25"/>
      <c r="D341" s="26"/>
      <c r="E341" s="27"/>
      <c r="F341" s="34"/>
      <c r="G341" s="34"/>
      <c r="H341" s="34"/>
      <c r="I341" s="34"/>
      <c r="J341" s="34"/>
      <c r="K341" s="34"/>
      <c r="L341" s="34"/>
      <c r="M341" s="34"/>
      <c r="N341" s="34"/>
      <c r="O341" s="34"/>
      <c r="P341" s="34"/>
      <c r="Q341" s="35"/>
      <c r="R341" s="35"/>
    </row>
    <row r="342" spans="2:27" ht="9.9499999999999993" customHeight="1">
      <c r="B342" s="25"/>
      <c r="D342" s="26"/>
      <c r="E342" s="27"/>
      <c r="F342" s="34"/>
      <c r="G342" s="34"/>
      <c r="H342" s="34"/>
      <c r="I342" s="34"/>
      <c r="J342" s="34"/>
      <c r="K342" s="34"/>
      <c r="L342" s="34"/>
      <c r="M342" s="34"/>
      <c r="N342" s="34"/>
      <c r="O342" s="34"/>
      <c r="P342" s="34"/>
      <c r="Q342" s="35"/>
      <c r="R342" s="35"/>
    </row>
    <row r="343" spans="2:27" ht="9.9499999999999993" customHeight="1">
      <c r="B343" s="25"/>
      <c r="D343" s="26"/>
      <c r="E343" s="27"/>
      <c r="F343" s="34"/>
      <c r="G343" s="34"/>
      <c r="H343" s="34"/>
      <c r="I343" s="34"/>
      <c r="J343" s="34"/>
      <c r="K343" s="34"/>
      <c r="L343" s="34"/>
      <c r="M343" s="34"/>
      <c r="N343" s="34"/>
      <c r="O343" s="34"/>
      <c r="P343" s="34"/>
      <c r="Q343" s="35"/>
      <c r="R343" s="35"/>
    </row>
    <row r="344" spans="2:27" ht="9.9499999999999993" customHeight="1">
      <c r="B344" s="25"/>
      <c r="D344" s="26"/>
      <c r="E344" s="27"/>
      <c r="F344" s="34"/>
      <c r="G344" s="34"/>
      <c r="H344" s="34"/>
      <c r="I344" s="34"/>
      <c r="J344" s="34"/>
      <c r="K344" s="34"/>
      <c r="L344" s="34"/>
      <c r="M344" s="34"/>
      <c r="N344" s="34"/>
      <c r="O344" s="34"/>
      <c r="P344" s="34"/>
      <c r="Q344" s="35"/>
      <c r="R344" s="35"/>
    </row>
    <row r="345" spans="2:27" ht="9.9499999999999993" customHeight="1">
      <c r="B345" s="25"/>
      <c r="D345" s="26"/>
      <c r="E345" s="27"/>
      <c r="F345" s="34"/>
      <c r="G345" s="34"/>
      <c r="H345" s="34"/>
      <c r="I345" s="34"/>
      <c r="J345" s="34"/>
      <c r="K345" s="34"/>
      <c r="L345" s="34"/>
      <c r="M345" s="34"/>
      <c r="N345" s="34"/>
      <c r="O345" s="34"/>
      <c r="P345" s="34"/>
      <c r="Q345" s="35"/>
      <c r="R345" s="35"/>
    </row>
    <row r="346" spans="2:27" ht="9.9499999999999993" customHeight="1">
      <c r="B346" s="25"/>
      <c r="D346" s="26"/>
      <c r="E346" s="27"/>
      <c r="F346" s="34"/>
      <c r="G346" s="34"/>
      <c r="H346" s="34"/>
      <c r="I346" s="34"/>
      <c r="J346" s="34"/>
      <c r="K346" s="34"/>
      <c r="L346" s="34"/>
      <c r="M346" s="34"/>
      <c r="N346" s="34"/>
      <c r="O346" s="34"/>
      <c r="P346" s="34"/>
      <c r="Q346" s="35"/>
      <c r="R346" s="35"/>
    </row>
    <row r="347" spans="2:27" ht="9.9499999999999993" customHeight="1">
      <c r="B347" s="28"/>
      <c r="D347" s="26"/>
      <c r="E347" s="27"/>
      <c r="F347" s="34"/>
      <c r="G347" s="34"/>
      <c r="H347" s="34"/>
      <c r="I347" s="34"/>
      <c r="J347" s="34"/>
      <c r="K347" s="34"/>
      <c r="L347" s="34"/>
      <c r="M347" s="34"/>
      <c r="N347" s="34"/>
      <c r="O347" s="34"/>
      <c r="P347" s="34"/>
      <c r="Q347" s="35"/>
      <c r="R347" s="35"/>
    </row>
    <row r="348" spans="2:27" ht="9.9499999999999993" customHeight="1">
      <c r="B348" s="28"/>
      <c r="D348" s="26"/>
      <c r="E348" s="27"/>
      <c r="F348" s="34"/>
      <c r="G348" s="34"/>
      <c r="H348" s="34"/>
      <c r="I348" s="34"/>
      <c r="J348" s="34"/>
      <c r="K348" s="34"/>
      <c r="L348" s="34"/>
      <c r="M348" s="34"/>
      <c r="N348" s="34"/>
      <c r="O348" s="34"/>
      <c r="P348" s="34"/>
      <c r="Q348" s="35"/>
      <c r="R348" s="35"/>
    </row>
    <row r="349" spans="2:27" ht="9.9499999999999993" customHeight="1">
      <c r="F349" s="44"/>
      <c r="G349" s="44"/>
      <c r="H349" s="44"/>
      <c r="I349" s="44"/>
      <c r="J349" s="44"/>
      <c r="K349" s="35"/>
      <c r="L349" s="35"/>
      <c r="M349" s="35"/>
      <c r="N349" s="35"/>
      <c r="O349" s="35"/>
      <c r="P349" s="35"/>
      <c r="Q349" s="35"/>
      <c r="R349" s="35"/>
    </row>
    <row r="350" spans="2:27" ht="9.9499999999999993" customHeight="1">
      <c r="F350" s="35"/>
      <c r="G350" s="35"/>
      <c r="H350" s="35"/>
      <c r="I350" s="35"/>
      <c r="J350" s="35"/>
      <c r="K350" s="35"/>
      <c r="L350" s="35"/>
      <c r="M350" s="35"/>
      <c r="N350" s="35"/>
      <c r="O350" s="35"/>
      <c r="P350" s="35"/>
      <c r="Q350" s="35"/>
      <c r="R350" s="35"/>
    </row>
    <row r="351" spans="2:27" ht="9.9499999999999993" customHeight="1">
      <c r="F351" s="35"/>
      <c r="G351" s="35"/>
      <c r="H351" s="35"/>
      <c r="I351" s="35"/>
      <c r="J351" s="35"/>
      <c r="K351" s="35"/>
      <c r="L351" s="35"/>
      <c r="M351" s="35"/>
      <c r="N351" s="35"/>
      <c r="O351" s="35"/>
      <c r="P351" s="35"/>
      <c r="Q351" s="35"/>
      <c r="R351" s="35"/>
    </row>
    <row r="352" spans="2:27" ht="9.9499999999999993" customHeight="1">
      <c r="B352" s="25"/>
      <c r="D352" s="26"/>
      <c r="E352" s="27"/>
      <c r="F352" s="33"/>
      <c r="G352" s="33"/>
      <c r="H352" s="33"/>
      <c r="I352" s="33"/>
      <c r="J352" s="33"/>
      <c r="K352" s="33"/>
      <c r="L352" s="33"/>
      <c r="M352" s="33"/>
      <c r="N352" s="33"/>
      <c r="O352" s="33"/>
      <c r="P352" s="33"/>
      <c r="Q352" s="35"/>
      <c r="R352" s="35"/>
      <c r="AA352" t="s">
        <v>8</v>
      </c>
    </row>
    <row r="353" spans="2:27" ht="9.9499999999999993" customHeight="1">
      <c r="B353" s="25"/>
      <c r="D353" s="26"/>
      <c r="E353" s="27"/>
      <c r="F353" s="34"/>
      <c r="G353" s="34"/>
      <c r="H353" s="34"/>
      <c r="I353" s="34"/>
      <c r="J353" s="34"/>
      <c r="K353" s="34"/>
      <c r="L353" s="34"/>
      <c r="M353" s="34"/>
      <c r="N353" s="34"/>
      <c r="O353" s="34"/>
      <c r="P353" s="34"/>
      <c r="Q353" s="35"/>
      <c r="R353" s="35"/>
    </row>
    <row r="354" spans="2:27" ht="9.9499999999999993" customHeight="1">
      <c r="B354" s="25"/>
      <c r="D354" s="26"/>
      <c r="E354" s="27"/>
      <c r="F354" s="34"/>
      <c r="G354" s="34"/>
      <c r="H354" s="34"/>
      <c r="I354" s="34"/>
      <c r="J354" s="34"/>
      <c r="K354" s="34"/>
      <c r="L354" s="34"/>
      <c r="M354" s="34"/>
      <c r="N354" s="34"/>
      <c r="O354" s="34"/>
      <c r="P354" s="34"/>
      <c r="Q354" s="35"/>
      <c r="R354" s="35"/>
    </row>
    <row r="355" spans="2:27" ht="9.9499999999999993" customHeight="1">
      <c r="B355" s="25"/>
      <c r="D355" s="26"/>
      <c r="E355" s="27"/>
      <c r="F355" s="34"/>
      <c r="G355" s="34"/>
      <c r="H355" s="34"/>
      <c r="I355" s="34"/>
      <c r="J355" s="34"/>
      <c r="K355" s="34"/>
      <c r="L355" s="34"/>
      <c r="M355" s="34"/>
      <c r="N355" s="34"/>
      <c r="O355" s="34"/>
      <c r="P355" s="34"/>
      <c r="Q355" s="35"/>
      <c r="R355" s="35"/>
    </row>
    <row r="356" spans="2:27" ht="9.9499999999999993" customHeight="1">
      <c r="B356" s="25"/>
      <c r="D356" s="26"/>
      <c r="E356" s="27"/>
      <c r="F356" s="34"/>
      <c r="G356" s="34"/>
      <c r="H356" s="34"/>
      <c r="I356" s="34"/>
      <c r="J356" s="34"/>
      <c r="K356" s="34"/>
      <c r="L356" s="34"/>
      <c r="M356" s="34"/>
      <c r="N356" s="34"/>
      <c r="O356" s="34"/>
      <c r="P356" s="34"/>
      <c r="Q356" s="35"/>
      <c r="R356" s="35"/>
    </row>
    <row r="357" spans="2:27" ht="9.9499999999999993" customHeight="1">
      <c r="B357" s="25"/>
      <c r="D357" s="26"/>
      <c r="E357" s="27"/>
      <c r="F357" s="34"/>
      <c r="G357" s="34"/>
      <c r="H357" s="34"/>
      <c r="I357" s="34"/>
      <c r="J357" s="34"/>
      <c r="K357" s="34"/>
      <c r="L357" s="34"/>
      <c r="M357" s="34"/>
      <c r="N357" s="34"/>
      <c r="O357" s="34"/>
      <c r="P357" s="34"/>
      <c r="Q357" s="35"/>
      <c r="R357" s="35"/>
    </row>
    <row r="358" spans="2:27" ht="9.9499999999999993" customHeight="1">
      <c r="B358" s="25"/>
      <c r="D358" s="26"/>
      <c r="E358" s="27"/>
      <c r="F358" s="34"/>
      <c r="G358" s="34"/>
      <c r="H358" s="34"/>
      <c r="I358" s="34"/>
      <c r="J358" s="34"/>
      <c r="K358" s="34"/>
      <c r="L358" s="34"/>
      <c r="M358" s="34"/>
      <c r="N358" s="34"/>
      <c r="O358" s="34"/>
      <c r="P358" s="34"/>
      <c r="Q358" s="35"/>
      <c r="R358" s="35"/>
    </row>
    <row r="359" spans="2:27" ht="9.9499999999999993" customHeight="1">
      <c r="B359" s="28"/>
      <c r="D359" s="26"/>
      <c r="E359" s="27"/>
      <c r="F359" s="34"/>
      <c r="G359" s="34"/>
      <c r="H359" s="34"/>
      <c r="I359" s="34"/>
      <c r="J359" s="34"/>
      <c r="K359" s="34"/>
      <c r="L359" s="34"/>
      <c r="M359" s="34"/>
      <c r="N359" s="34"/>
      <c r="O359" s="34"/>
      <c r="P359" s="34"/>
      <c r="Q359" s="35"/>
      <c r="R359" s="35"/>
    </row>
    <row r="360" spans="2:27" ht="9.9499999999999993" customHeight="1">
      <c r="B360" s="28"/>
      <c r="D360" s="26"/>
      <c r="E360" s="27"/>
      <c r="F360" s="34"/>
      <c r="G360" s="34"/>
      <c r="H360" s="34"/>
      <c r="I360" s="34"/>
      <c r="J360" s="34"/>
      <c r="K360" s="34"/>
      <c r="L360" s="34"/>
      <c r="M360" s="34"/>
      <c r="N360" s="34"/>
      <c r="O360" s="34"/>
      <c r="P360" s="34"/>
      <c r="Q360" s="35"/>
      <c r="R360" s="35"/>
    </row>
    <row r="361" spans="2:27" ht="9.9499999999999993" customHeight="1">
      <c r="F361" s="44"/>
      <c r="G361" s="44"/>
      <c r="H361" s="44"/>
      <c r="I361" s="44"/>
      <c r="J361" s="44"/>
      <c r="K361" s="35"/>
      <c r="L361" s="35"/>
      <c r="M361" s="35"/>
      <c r="N361" s="35"/>
      <c r="O361" s="35"/>
      <c r="P361" s="35"/>
      <c r="Q361" s="35"/>
      <c r="R361" s="35"/>
    </row>
    <row r="362" spans="2:27" ht="9.9499999999999993" customHeight="1">
      <c r="F362" s="35"/>
      <c r="G362" s="35"/>
      <c r="H362" s="35"/>
      <c r="I362" s="35"/>
      <c r="J362" s="35"/>
      <c r="K362" s="35"/>
      <c r="L362" s="35"/>
      <c r="M362" s="35"/>
      <c r="N362" s="35"/>
      <c r="O362" s="35"/>
      <c r="P362" s="35"/>
      <c r="Q362" s="35"/>
      <c r="R362" s="35"/>
    </row>
    <row r="363" spans="2:27" ht="9.9499999999999993" customHeight="1">
      <c r="F363" s="35"/>
      <c r="G363" s="35"/>
      <c r="H363" s="35"/>
      <c r="I363" s="35"/>
      <c r="J363" s="35"/>
      <c r="K363" s="35"/>
      <c r="L363" s="35"/>
      <c r="M363" s="35"/>
      <c r="N363" s="35"/>
      <c r="O363" s="35"/>
      <c r="P363" s="35"/>
      <c r="Q363" s="35"/>
      <c r="R363" s="35"/>
    </row>
    <row r="364" spans="2:27" ht="9.9499999999999993" customHeight="1">
      <c r="B364" s="25"/>
      <c r="D364" s="26"/>
      <c r="E364" s="27"/>
      <c r="F364" s="33"/>
      <c r="G364" s="33"/>
      <c r="H364" s="33"/>
      <c r="I364" s="33"/>
      <c r="J364" s="33"/>
      <c r="K364" s="33"/>
      <c r="L364" s="33"/>
      <c r="M364" s="33"/>
      <c r="N364" s="33"/>
      <c r="O364" s="33"/>
      <c r="P364" s="33"/>
      <c r="Q364" s="35"/>
      <c r="R364" s="35"/>
      <c r="AA364" t="s">
        <v>8</v>
      </c>
    </row>
    <row r="365" spans="2:27" ht="9.9499999999999993" customHeight="1">
      <c r="B365" s="25"/>
      <c r="D365" s="26"/>
      <c r="E365" s="27"/>
      <c r="F365" s="34"/>
      <c r="G365" s="34"/>
      <c r="H365" s="34"/>
      <c r="I365" s="34"/>
      <c r="J365" s="34"/>
      <c r="K365" s="34"/>
      <c r="L365" s="34"/>
      <c r="M365" s="34"/>
      <c r="N365" s="34"/>
      <c r="O365" s="34"/>
      <c r="P365" s="34"/>
      <c r="Q365" s="35"/>
      <c r="R365" s="35"/>
    </row>
    <row r="366" spans="2:27" ht="9.9499999999999993" customHeight="1">
      <c r="B366" s="25"/>
      <c r="D366" s="26"/>
      <c r="E366" s="27"/>
      <c r="F366" s="34"/>
      <c r="G366" s="34"/>
      <c r="H366" s="34"/>
      <c r="I366" s="34"/>
      <c r="J366" s="34"/>
      <c r="K366" s="34"/>
      <c r="L366" s="34"/>
      <c r="M366" s="34"/>
      <c r="N366" s="34"/>
      <c r="O366" s="34"/>
      <c r="P366" s="34"/>
      <c r="Q366" s="35"/>
      <c r="R366" s="35"/>
    </row>
    <row r="367" spans="2:27" ht="9.9499999999999993" customHeight="1">
      <c r="B367" s="25"/>
      <c r="D367" s="26"/>
      <c r="E367" s="27"/>
      <c r="F367" s="34"/>
      <c r="G367" s="34"/>
      <c r="H367" s="34"/>
      <c r="I367" s="34"/>
      <c r="J367" s="34"/>
      <c r="K367" s="34"/>
      <c r="L367" s="34"/>
      <c r="M367" s="34"/>
      <c r="N367" s="34"/>
      <c r="O367" s="34"/>
      <c r="P367" s="34"/>
      <c r="Q367" s="35"/>
      <c r="R367" s="35"/>
    </row>
    <row r="368" spans="2:27" ht="9.9499999999999993" customHeight="1">
      <c r="B368" s="25"/>
      <c r="D368" s="26"/>
      <c r="E368" s="27"/>
      <c r="F368" s="34"/>
      <c r="G368" s="34"/>
      <c r="H368" s="34"/>
      <c r="I368" s="34"/>
      <c r="J368" s="34"/>
      <c r="K368" s="34"/>
      <c r="L368" s="34"/>
      <c r="M368" s="34"/>
      <c r="N368" s="34"/>
      <c r="O368" s="34"/>
      <c r="P368" s="34"/>
      <c r="Q368" s="35"/>
      <c r="R368" s="35"/>
    </row>
    <row r="369" spans="2:27" ht="9.9499999999999993" customHeight="1">
      <c r="B369" s="25"/>
      <c r="D369" s="26"/>
      <c r="E369" s="27"/>
      <c r="F369" s="34"/>
      <c r="G369" s="34"/>
      <c r="H369" s="34"/>
      <c r="I369" s="34"/>
      <c r="J369" s="34"/>
      <c r="K369" s="34"/>
      <c r="L369" s="34"/>
      <c r="M369" s="34"/>
      <c r="N369" s="34"/>
      <c r="O369" s="34"/>
      <c r="P369" s="34"/>
      <c r="Q369" s="35"/>
      <c r="R369" s="35"/>
    </row>
    <row r="370" spans="2:27" ht="9.9499999999999993" customHeight="1">
      <c r="B370" s="25"/>
      <c r="D370" s="26"/>
      <c r="E370" s="27"/>
      <c r="F370" s="34"/>
      <c r="G370" s="34"/>
      <c r="H370" s="34"/>
      <c r="I370" s="34"/>
      <c r="J370" s="34"/>
      <c r="K370" s="34"/>
      <c r="L370" s="34"/>
      <c r="M370" s="34"/>
      <c r="N370" s="34"/>
      <c r="O370" s="34"/>
      <c r="P370" s="34"/>
      <c r="Q370" s="35"/>
      <c r="R370" s="35"/>
    </row>
    <row r="371" spans="2:27" ht="9.9499999999999993" customHeight="1">
      <c r="B371" s="28"/>
      <c r="D371" s="26"/>
      <c r="E371" s="27"/>
      <c r="F371" s="34"/>
      <c r="G371" s="34"/>
      <c r="H371" s="34"/>
      <c r="I371" s="34"/>
      <c r="J371" s="34"/>
      <c r="K371" s="34"/>
      <c r="L371" s="34"/>
      <c r="M371" s="34"/>
      <c r="N371" s="34"/>
      <c r="O371" s="34"/>
      <c r="P371" s="34"/>
      <c r="Q371" s="35"/>
      <c r="R371" s="35"/>
    </row>
    <row r="372" spans="2:27" ht="9.9499999999999993" customHeight="1">
      <c r="B372" s="28"/>
      <c r="D372" s="26"/>
      <c r="E372" s="27"/>
      <c r="F372" s="34"/>
      <c r="G372" s="34"/>
      <c r="H372" s="34"/>
      <c r="I372" s="34"/>
      <c r="J372" s="34"/>
      <c r="K372" s="34"/>
      <c r="L372" s="34"/>
      <c r="M372" s="34"/>
      <c r="N372" s="34"/>
      <c r="O372" s="34"/>
      <c r="P372" s="34"/>
      <c r="Q372" s="35"/>
      <c r="R372" s="35"/>
    </row>
    <row r="373" spans="2:27" ht="9.9499999999999993" customHeight="1">
      <c r="F373" s="44"/>
      <c r="G373" s="44"/>
      <c r="H373" s="44"/>
      <c r="I373" s="44"/>
      <c r="J373" s="44"/>
      <c r="K373" s="35"/>
      <c r="L373" s="35"/>
      <c r="M373" s="35"/>
      <c r="N373" s="35"/>
      <c r="O373" s="35"/>
      <c r="P373" s="35"/>
      <c r="Q373" s="35"/>
      <c r="R373" s="35"/>
      <c r="AA373" t="s">
        <v>9</v>
      </c>
    </row>
    <row r="374" spans="2:27" ht="9.9499999999999993" customHeight="1">
      <c r="F374" s="35"/>
      <c r="G374" s="35"/>
      <c r="H374" s="35"/>
      <c r="I374" s="35"/>
      <c r="J374" s="35"/>
      <c r="K374" s="35"/>
      <c r="L374" s="35"/>
      <c r="M374" s="35"/>
      <c r="N374" s="35"/>
      <c r="O374" s="35"/>
      <c r="P374" s="35"/>
      <c r="Q374" s="35"/>
      <c r="R374" s="35"/>
    </row>
    <row r="375" spans="2:27" ht="9.9499999999999993" customHeight="1">
      <c r="F375" s="35"/>
      <c r="G375" s="35"/>
      <c r="H375" s="35"/>
      <c r="I375" s="35"/>
      <c r="J375" s="35"/>
      <c r="K375" s="35"/>
      <c r="L375" s="35"/>
      <c r="M375" s="35"/>
      <c r="N375" s="35"/>
      <c r="O375" s="35"/>
      <c r="P375" s="35"/>
      <c r="Q375" s="35"/>
      <c r="R375" s="35"/>
    </row>
    <row r="376" spans="2:27" ht="9.9499999999999993" customHeight="1">
      <c r="F376" s="35"/>
      <c r="G376" s="35"/>
      <c r="H376" s="35"/>
      <c r="I376" s="35"/>
      <c r="J376" s="35"/>
      <c r="K376" s="35"/>
      <c r="L376" s="35"/>
      <c r="M376" s="35"/>
      <c r="N376" s="35"/>
      <c r="O376" s="35"/>
      <c r="P376" s="35"/>
      <c r="Q376" s="35"/>
      <c r="R376" s="35"/>
    </row>
    <row r="377" spans="2:27" ht="9.9499999999999993" customHeight="1">
      <c r="F377" s="35"/>
      <c r="G377" s="35"/>
      <c r="H377" s="35"/>
      <c r="I377" s="35"/>
      <c r="J377" s="35"/>
      <c r="K377" s="35"/>
      <c r="L377" s="35"/>
      <c r="M377" s="35"/>
      <c r="N377" s="35"/>
      <c r="O377" s="35"/>
      <c r="P377" s="35"/>
      <c r="Q377" s="35"/>
      <c r="R377" s="35"/>
    </row>
    <row r="378" spans="2:27" ht="9.9499999999999993" customHeight="1">
      <c r="F378" s="35"/>
      <c r="G378" s="35"/>
      <c r="H378" s="35"/>
      <c r="I378" s="35"/>
      <c r="J378" s="35"/>
      <c r="K378" s="35"/>
      <c r="L378" s="35"/>
      <c r="M378" s="35"/>
      <c r="N378" s="35"/>
      <c r="O378" s="35"/>
      <c r="P378" s="35"/>
      <c r="Q378" s="35"/>
      <c r="R378" s="35"/>
    </row>
    <row r="379" spans="2:27" ht="9.9499999999999993" customHeight="1">
      <c r="F379" s="35"/>
      <c r="G379" s="35"/>
      <c r="H379" s="35"/>
      <c r="I379" s="35"/>
      <c r="J379" s="35"/>
      <c r="K379" s="35"/>
      <c r="L379" s="35"/>
      <c r="M379" s="35"/>
      <c r="N379" s="35"/>
      <c r="O379" s="35"/>
      <c r="P379" s="35"/>
      <c r="Q379" s="35"/>
      <c r="R379" s="35"/>
    </row>
    <row r="380" spans="2:27" ht="9.9499999999999993" customHeight="1">
      <c r="F380" s="35"/>
      <c r="G380" s="35"/>
      <c r="H380" s="35"/>
      <c r="I380" s="35"/>
      <c r="J380" s="35"/>
      <c r="K380" s="35"/>
      <c r="L380" s="35"/>
      <c r="M380" s="35"/>
      <c r="N380" s="35"/>
      <c r="O380" s="35"/>
      <c r="P380" s="35"/>
      <c r="Q380" s="35"/>
      <c r="R380" s="35"/>
    </row>
    <row r="381" spans="2:27" ht="9.9499999999999993" customHeight="1">
      <c r="F381" s="35"/>
      <c r="G381" s="35"/>
      <c r="H381" s="35"/>
      <c r="I381" s="35"/>
      <c r="J381" s="35"/>
      <c r="K381" s="35"/>
      <c r="L381" s="35"/>
      <c r="M381" s="35"/>
      <c r="N381" s="35"/>
      <c r="O381" s="35"/>
      <c r="P381" s="35"/>
      <c r="Q381" s="35"/>
      <c r="R381" s="35"/>
    </row>
    <row r="382" spans="2:27" ht="9.9499999999999993" customHeight="1">
      <c r="F382" s="35"/>
      <c r="G382" s="35"/>
      <c r="H382" s="35"/>
      <c r="I382" s="35"/>
      <c r="J382" s="35"/>
      <c r="K382" s="35"/>
      <c r="L382" s="35"/>
      <c r="M382" s="35"/>
      <c r="N382" s="35"/>
      <c r="O382" s="35"/>
      <c r="P382" s="35"/>
      <c r="Q382" s="35"/>
      <c r="R382" s="35"/>
    </row>
    <row r="383" spans="2:27" ht="9.9499999999999993" customHeight="1">
      <c r="F383" s="35"/>
      <c r="G383" s="35"/>
      <c r="H383" s="35"/>
      <c r="I383" s="35"/>
      <c r="J383" s="35"/>
      <c r="K383" s="35"/>
      <c r="L383" s="35"/>
      <c r="M383" s="35"/>
      <c r="N383" s="35"/>
      <c r="O383" s="35"/>
      <c r="P383" s="35"/>
      <c r="Q383" s="35"/>
      <c r="R383" s="35"/>
    </row>
    <row r="384" spans="2:27" ht="9.9499999999999993" customHeight="1">
      <c r="F384" s="35"/>
      <c r="G384" s="35"/>
      <c r="H384" s="35"/>
      <c r="I384" s="35"/>
      <c r="J384" s="35"/>
      <c r="K384" s="35"/>
      <c r="L384" s="35"/>
      <c r="M384" s="35"/>
      <c r="N384" s="35"/>
      <c r="O384" s="35"/>
      <c r="P384" s="35"/>
      <c r="Q384" s="35"/>
      <c r="R384" s="35"/>
    </row>
    <row r="385" spans="6:18" ht="9.9499999999999993" customHeight="1">
      <c r="F385" s="35"/>
      <c r="G385" s="35"/>
      <c r="H385" s="35"/>
      <c r="I385" s="35"/>
      <c r="J385" s="35"/>
      <c r="K385" s="35"/>
      <c r="L385" s="35"/>
      <c r="M385" s="35"/>
      <c r="N385" s="35"/>
      <c r="O385" s="35"/>
      <c r="P385" s="35"/>
      <c r="Q385" s="35"/>
      <c r="R385" s="35"/>
    </row>
    <row r="386" spans="6:18" ht="9.9499999999999993" customHeight="1">
      <c r="F386" s="35"/>
      <c r="G386" s="35"/>
      <c r="H386" s="35"/>
      <c r="I386" s="35"/>
      <c r="J386" s="35"/>
      <c r="K386" s="35"/>
      <c r="L386" s="35"/>
      <c r="M386" s="35"/>
      <c r="N386" s="35"/>
      <c r="O386" s="35"/>
      <c r="P386" s="35"/>
      <c r="Q386" s="35"/>
      <c r="R386" s="35"/>
    </row>
    <row r="387" spans="6:18" ht="9.9499999999999993" customHeight="1">
      <c r="F387" s="35"/>
      <c r="G387" s="35"/>
      <c r="H387" s="35"/>
      <c r="I387" s="35"/>
      <c r="J387" s="35"/>
      <c r="K387" s="35"/>
      <c r="L387" s="35"/>
      <c r="M387" s="35"/>
      <c r="N387" s="35"/>
      <c r="O387" s="35"/>
      <c r="P387" s="35"/>
      <c r="Q387" s="35"/>
      <c r="R387" s="35"/>
    </row>
    <row r="388" spans="6:18" ht="9.9499999999999993" customHeight="1">
      <c r="F388" s="35"/>
      <c r="G388" s="35"/>
      <c r="H388" s="35"/>
      <c r="I388" s="35"/>
      <c r="J388" s="35"/>
      <c r="K388" s="35"/>
      <c r="L388" s="35"/>
      <c r="M388" s="35"/>
      <c r="N388" s="35"/>
      <c r="O388" s="35"/>
      <c r="P388" s="35"/>
      <c r="Q388" s="35"/>
      <c r="R388" s="35"/>
    </row>
    <row r="389" spans="6:18" ht="9.9499999999999993" customHeight="1">
      <c r="F389" s="35"/>
      <c r="G389" s="35"/>
      <c r="H389" s="35"/>
      <c r="I389" s="35"/>
      <c r="J389" s="35"/>
      <c r="K389" s="35"/>
      <c r="L389" s="35"/>
      <c r="M389" s="35"/>
      <c r="N389" s="35"/>
      <c r="O389" s="35"/>
      <c r="P389" s="35"/>
      <c r="Q389" s="35"/>
      <c r="R389" s="35"/>
    </row>
    <row r="390" spans="6:18" ht="9.9499999999999993" customHeight="1">
      <c r="F390" s="35"/>
      <c r="G390" s="35"/>
      <c r="H390" s="35"/>
      <c r="I390" s="35"/>
      <c r="J390" s="35"/>
      <c r="K390" s="35"/>
      <c r="L390" s="35"/>
      <c r="M390" s="35"/>
      <c r="N390" s="35"/>
      <c r="O390" s="35"/>
      <c r="P390" s="35"/>
      <c r="Q390" s="35"/>
      <c r="R390" s="35"/>
    </row>
    <row r="391" spans="6:18" ht="9.9499999999999993" customHeight="1">
      <c r="F391" s="35"/>
      <c r="G391" s="35"/>
      <c r="H391" s="35"/>
      <c r="I391" s="35"/>
      <c r="J391" s="35"/>
      <c r="K391" s="35"/>
      <c r="L391" s="35"/>
      <c r="M391" s="35"/>
      <c r="N391" s="35"/>
      <c r="O391" s="35"/>
      <c r="P391" s="35"/>
      <c r="Q391" s="35"/>
      <c r="R391" s="35"/>
    </row>
    <row r="392" spans="6:18" ht="9.9499999999999993" customHeight="1">
      <c r="F392" s="35"/>
      <c r="G392" s="35"/>
      <c r="H392" s="35"/>
      <c r="I392" s="35"/>
      <c r="J392" s="35"/>
      <c r="K392" s="35"/>
      <c r="L392" s="35"/>
      <c r="M392" s="35"/>
      <c r="N392" s="35"/>
      <c r="O392" s="35"/>
      <c r="P392" s="35"/>
      <c r="Q392" s="35"/>
      <c r="R392" s="35"/>
    </row>
    <row r="393" spans="6:18" ht="9.9499999999999993" customHeight="1">
      <c r="F393" s="35"/>
      <c r="G393" s="35"/>
      <c r="H393" s="35"/>
      <c r="I393" s="35"/>
      <c r="J393" s="35"/>
      <c r="K393" s="35"/>
      <c r="L393" s="35"/>
      <c r="M393" s="35"/>
      <c r="N393" s="35"/>
      <c r="O393" s="35"/>
      <c r="P393" s="35"/>
      <c r="Q393" s="35"/>
      <c r="R393" s="35"/>
    </row>
    <row r="394" spans="6:18" ht="9.9499999999999993" customHeight="1">
      <c r="F394" s="35"/>
      <c r="G394" s="35"/>
      <c r="H394" s="35"/>
      <c r="I394" s="35"/>
      <c r="J394" s="35"/>
      <c r="K394" s="35"/>
      <c r="L394" s="35"/>
      <c r="M394" s="35"/>
      <c r="N394" s="35"/>
      <c r="O394" s="35"/>
      <c r="P394" s="35"/>
      <c r="Q394" s="35"/>
      <c r="R394" s="35"/>
    </row>
    <row r="395" spans="6:18" ht="9.9499999999999993" customHeight="1">
      <c r="F395" s="35"/>
      <c r="G395" s="35"/>
      <c r="H395" s="35"/>
      <c r="I395" s="35"/>
      <c r="J395" s="35"/>
      <c r="K395" s="35"/>
      <c r="L395" s="35"/>
      <c r="M395" s="35"/>
      <c r="N395" s="35"/>
      <c r="O395" s="35"/>
      <c r="P395" s="35"/>
      <c r="Q395" s="35"/>
      <c r="R395" s="35"/>
    </row>
    <row r="396" spans="6:18" ht="9.9499999999999993" customHeight="1">
      <c r="F396" s="35"/>
      <c r="G396" s="35"/>
      <c r="H396" s="35"/>
      <c r="I396" s="35"/>
      <c r="J396" s="35"/>
      <c r="K396" s="35"/>
      <c r="L396" s="35"/>
      <c r="M396" s="35"/>
      <c r="N396" s="35"/>
      <c r="O396" s="35"/>
      <c r="P396" s="35"/>
      <c r="Q396" s="35"/>
      <c r="R396" s="35"/>
    </row>
    <row r="397" spans="6:18" ht="9.9499999999999993" customHeight="1">
      <c r="F397" s="35"/>
      <c r="G397" s="35"/>
      <c r="H397" s="35"/>
      <c r="I397" s="35"/>
      <c r="J397" s="35"/>
      <c r="K397" s="35"/>
      <c r="L397" s="35"/>
      <c r="M397" s="35"/>
      <c r="N397" s="35"/>
      <c r="O397" s="35"/>
      <c r="P397" s="35"/>
      <c r="Q397" s="35"/>
      <c r="R397" s="35"/>
    </row>
    <row r="398" spans="6:18" ht="9.9499999999999993" customHeight="1">
      <c r="F398" s="35"/>
      <c r="G398" s="35"/>
      <c r="H398" s="35"/>
      <c r="I398" s="35"/>
      <c r="J398" s="35"/>
      <c r="K398" s="35"/>
      <c r="L398" s="35"/>
      <c r="M398" s="35"/>
      <c r="N398" s="35"/>
      <c r="O398" s="35"/>
      <c r="P398" s="35"/>
      <c r="Q398" s="35"/>
      <c r="R398" s="35"/>
    </row>
    <row r="399" spans="6:18" ht="9.9499999999999993" customHeight="1">
      <c r="F399" s="35"/>
      <c r="G399" s="35"/>
      <c r="H399" s="35"/>
      <c r="I399" s="35"/>
      <c r="J399" s="35"/>
      <c r="K399" s="35"/>
      <c r="L399" s="35"/>
      <c r="M399" s="35"/>
      <c r="N399" s="35"/>
      <c r="O399" s="35"/>
      <c r="P399" s="35"/>
      <c r="Q399" s="35"/>
      <c r="R399" s="35"/>
    </row>
    <row r="400" spans="6:18" ht="9.9499999999999993" customHeight="1">
      <c r="F400" s="35"/>
      <c r="G400" s="35"/>
      <c r="H400" s="35"/>
      <c r="I400" s="35"/>
      <c r="J400" s="35"/>
      <c r="K400" s="35"/>
      <c r="L400" s="35"/>
      <c r="M400" s="35"/>
      <c r="N400" s="35"/>
      <c r="O400" s="35"/>
      <c r="P400" s="35"/>
      <c r="Q400" s="35"/>
      <c r="R400" s="35"/>
    </row>
    <row r="401" spans="2:27" ht="9.9499999999999993" customHeight="1">
      <c r="F401" s="35"/>
      <c r="G401" s="35"/>
      <c r="H401" s="35"/>
      <c r="I401" s="35"/>
      <c r="J401" s="35"/>
      <c r="K401" s="35"/>
      <c r="L401" s="35"/>
      <c r="M401" s="35"/>
      <c r="N401" s="35"/>
      <c r="O401" s="35"/>
      <c r="P401" s="35"/>
      <c r="Q401" s="35"/>
      <c r="R401" s="35"/>
      <c r="AA401" t="s">
        <v>7</v>
      </c>
    </row>
    <row r="402" spans="2:27" ht="9.9499999999999993" customHeight="1">
      <c r="F402" s="35"/>
      <c r="G402" s="35"/>
      <c r="H402" s="35"/>
      <c r="I402" s="35"/>
      <c r="J402" s="35"/>
      <c r="K402" s="35"/>
      <c r="L402" s="35"/>
      <c r="M402" s="35"/>
      <c r="N402" s="35"/>
      <c r="O402" s="35"/>
      <c r="P402" s="35"/>
      <c r="Q402" s="35"/>
      <c r="R402" s="35"/>
    </row>
    <row r="403" spans="2:27" ht="9.9499999999999993" customHeight="1">
      <c r="F403" s="35"/>
      <c r="G403" s="35"/>
      <c r="H403" s="35"/>
      <c r="I403" s="35"/>
      <c r="J403" s="35"/>
      <c r="K403" s="35"/>
      <c r="L403" s="35"/>
      <c r="M403" s="35"/>
      <c r="N403" s="35"/>
      <c r="O403" s="35"/>
      <c r="P403" s="35"/>
      <c r="Q403" s="35"/>
      <c r="R403" s="35"/>
    </row>
    <row r="404" spans="2:27" ht="9.9499999999999993" customHeight="1">
      <c r="B404" s="25"/>
      <c r="D404" s="26"/>
      <c r="E404" s="27"/>
      <c r="F404" s="33"/>
      <c r="G404" s="33"/>
      <c r="H404" s="33"/>
      <c r="I404" s="33"/>
      <c r="J404" s="33"/>
      <c r="K404" s="33"/>
      <c r="L404" s="33"/>
      <c r="M404" s="33"/>
      <c r="N404" s="33"/>
      <c r="O404" s="33"/>
      <c r="P404" s="33"/>
      <c r="Q404" s="35"/>
      <c r="R404" s="35"/>
      <c r="AA404" t="s">
        <v>8</v>
      </c>
    </row>
    <row r="405" spans="2:27" ht="9.9499999999999993" customHeight="1">
      <c r="B405" s="25"/>
      <c r="D405" s="26"/>
      <c r="E405" s="27"/>
      <c r="F405" s="34"/>
      <c r="G405" s="34"/>
      <c r="H405" s="34"/>
      <c r="I405" s="34"/>
      <c r="J405" s="34"/>
      <c r="K405" s="34"/>
      <c r="L405" s="34"/>
      <c r="M405" s="34"/>
      <c r="N405" s="34"/>
      <c r="O405" s="34"/>
      <c r="P405" s="34"/>
      <c r="Q405" s="35"/>
      <c r="R405" s="35"/>
    </row>
    <row r="406" spans="2:27" ht="9.9499999999999993" customHeight="1">
      <c r="B406" s="25"/>
      <c r="D406" s="26"/>
      <c r="E406" s="27"/>
      <c r="F406" s="34"/>
      <c r="G406" s="34"/>
      <c r="H406" s="34"/>
      <c r="I406" s="34"/>
      <c r="J406" s="34"/>
      <c r="K406" s="34"/>
      <c r="L406" s="34"/>
      <c r="M406" s="34"/>
      <c r="N406" s="34"/>
      <c r="O406" s="34"/>
      <c r="P406" s="34"/>
      <c r="Q406" s="35"/>
      <c r="R406" s="35"/>
    </row>
    <row r="407" spans="2:27" ht="9.9499999999999993" customHeight="1">
      <c r="B407" s="25"/>
      <c r="D407" s="26"/>
      <c r="E407" s="27"/>
      <c r="F407" s="34"/>
      <c r="G407" s="34"/>
      <c r="H407" s="34"/>
      <c r="I407" s="34"/>
      <c r="J407" s="34"/>
      <c r="K407" s="34"/>
      <c r="L407" s="34"/>
      <c r="M407" s="34"/>
      <c r="N407" s="34"/>
      <c r="O407" s="34"/>
      <c r="P407" s="34"/>
      <c r="Q407" s="35"/>
      <c r="R407" s="35"/>
    </row>
    <row r="408" spans="2:27" ht="9.9499999999999993" customHeight="1">
      <c r="B408" s="25"/>
      <c r="D408" s="26"/>
      <c r="E408" s="27"/>
      <c r="F408" s="34"/>
      <c r="G408" s="34"/>
      <c r="H408" s="34"/>
      <c r="I408" s="34"/>
      <c r="J408" s="34"/>
      <c r="K408" s="34"/>
      <c r="L408" s="34"/>
      <c r="M408" s="34"/>
      <c r="N408" s="34"/>
      <c r="O408" s="34"/>
      <c r="P408" s="34"/>
      <c r="Q408" s="35"/>
      <c r="R408" s="35"/>
    </row>
    <row r="409" spans="2:27" ht="9.9499999999999993" customHeight="1">
      <c r="B409" s="25"/>
      <c r="D409" s="26"/>
      <c r="E409" s="27"/>
      <c r="F409" s="34"/>
      <c r="G409" s="34"/>
      <c r="H409" s="34"/>
      <c r="I409" s="34"/>
      <c r="J409" s="34"/>
      <c r="K409" s="34"/>
      <c r="L409" s="34"/>
      <c r="M409" s="34"/>
      <c r="N409" s="34"/>
      <c r="O409" s="34"/>
      <c r="P409" s="34"/>
      <c r="Q409" s="35"/>
      <c r="R409" s="35"/>
    </row>
    <row r="410" spans="2:27" ht="9.9499999999999993" customHeight="1">
      <c r="B410" s="25"/>
      <c r="D410" s="26"/>
      <c r="E410" s="27"/>
      <c r="F410" s="34"/>
      <c r="G410" s="34"/>
      <c r="H410" s="34"/>
      <c r="I410" s="34"/>
      <c r="J410" s="34"/>
      <c r="K410" s="34"/>
      <c r="L410" s="34"/>
      <c r="M410" s="34"/>
      <c r="N410" s="34"/>
      <c r="O410" s="34"/>
      <c r="P410" s="34"/>
      <c r="Q410" s="35"/>
      <c r="R410" s="35"/>
    </row>
    <row r="411" spans="2:27" ht="9.9499999999999993" customHeight="1">
      <c r="B411" s="28"/>
      <c r="D411" s="26"/>
      <c r="E411" s="27"/>
      <c r="F411" s="34"/>
      <c r="G411" s="34"/>
      <c r="H411" s="34"/>
      <c r="I411" s="34"/>
      <c r="J411" s="34"/>
      <c r="K411" s="34"/>
      <c r="L411" s="34"/>
      <c r="M411" s="34"/>
      <c r="N411" s="34"/>
      <c r="O411" s="34"/>
      <c r="P411" s="34"/>
      <c r="Q411" s="35"/>
      <c r="R411" s="35"/>
    </row>
    <row r="412" spans="2:27" ht="9.9499999999999993" customHeight="1">
      <c r="B412" s="28"/>
      <c r="D412" s="26"/>
      <c r="E412" s="27"/>
      <c r="F412" s="34"/>
      <c r="G412" s="34"/>
      <c r="H412" s="34"/>
      <c r="I412" s="34"/>
      <c r="J412" s="34"/>
      <c r="K412" s="34"/>
      <c r="L412" s="34"/>
      <c r="M412" s="34"/>
      <c r="N412" s="34"/>
      <c r="O412" s="34"/>
      <c r="P412" s="34"/>
      <c r="Q412" s="35"/>
      <c r="R412" s="35"/>
    </row>
    <row r="413" spans="2:27" ht="9.9499999999999993" customHeight="1">
      <c r="F413" s="44"/>
      <c r="G413" s="44"/>
      <c r="H413" s="44"/>
      <c r="I413" s="44"/>
      <c r="J413" s="44"/>
      <c r="K413" s="35"/>
      <c r="L413" s="35"/>
      <c r="M413" s="35"/>
      <c r="N413" s="35"/>
      <c r="O413" s="35"/>
      <c r="P413" s="35"/>
      <c r="Q413" s="35"/>
      <c r="R413" s="35"/>
    </row>
    <row r="414" spans="2:27" ht="9.9499999999999993" customHeight="1">
      <c r="F414" s="35"/>
      <c r="G414" s="35"/>
      <c r="H414" s="35"/>
      <c r="I414" s="35"/>
      <c r="J414" s="35"/>
      <c r="K414" s="35"/>
      <c r="L414" s="35"/>
      <c r="M414" s="35"/>
      <c r="N414" s="35"/>
      <c r="O414" s="35"/>
      <c r="P414" s="35"/>
      <c r="Q414" s="35"/>
      <c r="R414" s="35"/>
    </row>
    <row r="415" spans="2:27" ht="9.9499999999999993" customHeight="1">
      <c r="F415" s="35"/>
      <c r="G415" s="35"/>
      <c r="H415" s="35"/>
      <c r="I415" s="35"/>
      <c r="J415" s="35"/>
      <c r="K415" s="35"/>
      <c r="L415" s="35"/>
      <c r="M415" s="35"/>
      <c r="N415" s="35"/>
      <c r="O415" s="35"/>
      <c r="P415" s="35"/>
      <c r="Q415" s="35"/>
      <c r="R415" s="35"/>
    </row>
    <row r="416" spans="2:27" ht="9.9499999999999993" customHeight="1">
      <c r="B416" s="25"/>
      <c r="D416" s="26"/>
      <c r="E416" s="27"/>
      <c r="F416" s="33"/>
      <c r="G416" s="33"/>
      <c r="H416" s="33"/>
      <c r="I416" s="33"/>
      <c r="J416" s="33"/>
      <c r="K416" s="33"/>
      <c r="L416" s="33"/>
      <c r="M416" s="33"/>
      <c r="N416" s="33"/>
      <c r="O416" s="33"/>
      <c r="P416" s="33"/>
      <c r="Q416" s="35"/>
      <c r="R416" s="35"/>
      <c r="AA416" t="s">
        <v>8</v>
      </c>
    </row>
    <row r="417" spans="2:27" ht="9.9499999999999993" customHeight="1">
      <c r="B417" s="25"/>
      <c r="D417" s="26"/>
      <c r="E417" s="27"/>
      <c r="F417" s="34"/>
      <c r="G417" s="34"/>
      <c r="H417" s="34"/>
      <c r="I417" s="34"/>
      <c r="J417" s="34"/>
      <c r="K417" s="34"/>
      <c r="L417" s="34"/>
      <c r="M417" s="34"/>
      <c r="N417" s="34"/>
      <c r="O417" s="34"/>
      <c r="P417" s="34"/>
      <c r="Q417" s="35"/>
      <c r="R417" s="35"/>
    </row>
    <row r="418" spans="2:27" ht="9.9499999999999993" customHeight="1">
      <c r="B418" s="25"/>
      <c r="D418" s="26"/>
      <c r="E418" s="27"/>
      <c r="F418" s="34"/>
      <c r="G418" s="34"/>
      <c r="H418" s="34"/>
      <c r="I418" s="34"/>
      <c r="J418" s="34"/>
      <c r="K418" s="34"/>
      <c r="L418" s="34"/>
      <c r="M418" s="34"/>
      <c r="N418" s="34"/>
      <c r="O418" s="34"/>
      <c r="P418" s="34"/>
      <c r="Q418" s="35"/>
      <c r="R418" s="35"/>
    </row>
    <row r="419" spans="2:27" ht="9.9499999999999993" customHeight="1">
      <c r="B419" s="25"/>
      <c r="D419" s="26"/>
      <c r="E419" s="27"/>
      <c r="F419" s="34"/>
      <c r="G419" s="34"/>
      <c r="H419" s="34"/>
      <c r="I419" s="34"/>
      <c r="J419" s="34"/>
      <c r="K419" s="34"/>
      <c r="L419" s="34"/>
      <c r="M419" s="34"/>
      <c r="N419" s="34"/>
      <c r="O419" s="34"/>
      <c r="P419" s="34"/>
      <c r="Q419" s="35"/>
      <c r="R419" s="35"/>
    </row>
    <row r="420" spans="2:27" ht="9.9499999999999993" customHeight="1">
      <c r="B420" s="25"/>
      <c r="D420" s="26"/>
      <c r="E420" s="27"/>
      <c r="F420" s="34"/>
      <c r="G420" s="34"/>
      <c r="H420" s="34"/>
      <c r="I420" s="34"/>
      <c r="J420" s="34"/>
      <c r="K420" s="34"/>
      <c r="L420" s="34"/>
      <c r="M420" s="34"/>
      <c r="N420" s="34"/>
      <c r="O420" s="34"/>
      <c r="P420" s="34"/>
      <c r="Q420" s="35"/>
      <c r="R420" s="35"/>
    </row>
    <row r="421" spans="2:27" ht="9.9499999999999993" customHeight="1">
      <c r="B421" s="25"/>
      <c r="D421" s="26"/>
      <c r="E421" s="27"/>
      <c r="F421" s="34"/>
      <c r="G421" s="34"/>
      <c r="H421" s="34"/>
      <c r="I421" s="34"/>
      <c r="J421" s="34"/>
      <c r="K421" s="34"/>
      <c r="L421" s="34"/>
      <c r="M421" s="34"/>
      <c r="N421" s="34"/>
      <c r="O421" s="34"/>
      <c r="P421" s="34"/>
      <c r="Q421" s="35"/>
      <c r="R421" s="35"/>
    </row>
    <row r="422" spans="2:27" ht="9.9499999999999993" customHeight="1">
      <c r="B422" s="25"/>
      <c r="D422" s="26"/>
      <c r="E422" s="27"/>
      <c r="F422" s="34"/>
      <c r="G422" s="34"/>
      <c r="H422" s="34"/>
      <c r="I422" s="34"/>
      <c r="J422" s="34"/>
      <c r="K422" s="34"/>
      <c r="L422" s="34"/>
      <c r="M422" s="34"/>
      <c r="N422" s="34"/>
      <c r="O422" s="34"/>
      <c r="P422" s="34"/>
      <c r="Q422" s="35"/>
      <c r="R422" s="35"/>
    </row>
    <row r="423" spans="2:27" ht="9.9499999999999993" customHeight="1">
      <c r="B423" s="28"/>
      <c r="D423" s="26"/>
      <c r="E423" s="27"/>
      <c r="F423" s="34"/>
      <c r="G423" s="34"/>
      <c r="H423" s="34"/>
      <c r="I423" s="34"/>
      <c r="J423" s="34"/>
      <c r="K423" s="34"/>
      <c r="L423" s="34"/>
      <c r="M423" s="34"/>
      <c r="N423" s="34"/>
      <c r="O423" s="34"/>
      <c r="P423" s="34"/>
      <c r="Q423" s="35"/>
      <c r="R423" s="35"/>
    </row>
    <row r="424" spans="2:27" ht="9.9499999999999993" customHeight="1">
      <c r="B424" s="28"/>
      <c r="D424" s="26"/>
      <c r="E424" s="27"/>
      <c r="F424" s="34"/>
      <c r="G424" s="34"/>
      <c r="H424" s="34"/>
      <c r="I424" s="34"/>
      <c r="J424" s="34"/>
      <c r="K424" s="34"/>
      <c r="L424" s="34"/>
      <c r="M424" s="34"/>
      <c r="N424" s="34"/>
      <c r="O424" s="34"/>
      <c r="P424" s="34"/>
      <c r="Q424" s="35"/>
      <c r="R424" s="35"/>
    </row>
    <row r="425" spans="2:27" ht="9.9499999999999993" customHeight="1">
      <c r="F425" s="44"/>
      <c r="G425" s="44"/>
      <c r="H425" s="44"/>
      <c r="I425" s="44"/>
      <c r="J425" s="44"/>
      <c r="K425" s="35"/>
      <c r="L425" s="35"/>
      <c r="M425" s="35"/>
      <c r="N425" s="35"/>
      <c r="O425" s="35"/>
      <c r="P425" s="35"/>
      <c r="Q425" s="35"/>
      <c r="R425" s="35"/>
    </row>
    <row r="426" spans="2:27" ht="9.9499999999999993" customHeight="1">
      <c r="F426" s="35"/>
      <c r="G426" s="35"/>
      <c r="H426" s="35"/>
      <c r="I426" s="35"/>
      <c r="J426" s="35"/>
      <c r="K426" s="35"/>
      <c r="L426" s="35"/>
      <c r="M426" s="35"/>
      <c r="N426" s="35"/>
      <c r="O426" s="35"/>
      <c r="P426" s="35"/>
      <c r="Q426" s="35"/>
      <c r="R426" s="35"/>
    </row>
    <row r="427" spans="2:27" ht="9.9499999999999993" customHeight="1">
      <c r="F427" s="35"/>
      <c r="G427" s="35"/>
      <c r="H427" s="35"/>
      <c r="I427" s="35"/>
      <c r="J427" s="35"/>
      <c r="K427" s="35"/>
      <c r="L427" s="35"/>
      <c r="M427" s="35"/>
      <c r="N427" s="35"/>
      <c r="O427" s="35"/>
      <c r="P427" s="35"/>
      <c r="Q427" s="35"/>
      <c r="R427" s="35"/>
    </row>
    <row r="428" spans="2:27" ht="9.9499999999999993" customHeight="1">
      <c r="B428" s="25"/>
      <c r="D428" s="26"/>
      <c r="E428" s="27"/>
      <c r="F428" s="33"/>
      <c r="G428" s="33"/>
      <c r="H428" s="33"/>
      <c r="I428" s="33"/>
      <c r="J428" s="33"/>
      <c r="K428" s="33"/>
      <c r="L428" s="33"/>
      <c r="M428" s="33"/>
      <c r="N428" s="33"/>
      <c r="O428" s="33"/>
      <c r="P428" s="33"/>
      <c r="Q428" s="35"/>
      <c r="R428" s="35"/>
      <c r="AA428" t="s">
        <v>8</v>
      </c>
    </row>
    <row r="429" spans="2:27" ht="9.9499999999999993" customHeight="1">
      <c r="B429" s="25"/>
      <c r="D429" s="26"/>
      <c r="E429" s="27"/>
      <c r="F429" s="34"/>
      <c r="G429" s="34"/>
      <c r="H429" s="34"/>
      <c r="I429" s="34"/>
      <c r="J429" s="34"/>
      <c r="K429" s="34"/>
      <c r="L429" s="34"/>
      <c r="M429" s="34"/>
      <c r="N429" s="34"/>
      <c r="O429" s="34"/>
      <c r="P429" s="34"/>
      <c r="Q429" s="35"/>
      <c r="R429" s="35"/>
    </row>
    <row r="430" spans="2:27" ht="9.9499999999999993" customHeight="1">
      <c r="B430" s="25"/>
      <c r="D430" s="26"/>
      <c r="E430" s="27"/>
      <c r="F430" s="34"/>
      <c r="G430" s="34"/>
      <c r="H430" s="34"/>
      <c r="I430" s="34"/>
      <c r="J430" s="34"/>
      <c r="K430" s="34"/>
      <c r="L430" s="34"/>
      <c r="M430" s="34"/>
      <c r="N430" s="34"/>
      <c r="O430" s="34"/>
      <c r="P430" s="34"/>
      <c r="Q430" s="35"/>
      <c r="R430" s="35"/>
    </row>
    <row r="431" spans="2:27" ht="9.9499999999999993" customHeight="1">
      <c r="B431" s="25"/>
      <c r="D431" s="26"/>
      <c r="E431" s="27"/>
      <c r="F431" s="34"/>
      <c r="G431" s="34"/>
      <c r="H431" s="34"/>
      <c r="I431" s="34"/>
      <c r="J431" s="34"/>
      <c r="K431" s="34"/>
      <c r="L431" s="34"/>
      <c r="M431" s="34"/>
      <c r="N431" s="34"/>
      <c r="O431" s="34"/>
      <c r="P431" s="34"/>
      <c r="Q431" s="35"/>
      <c r="R431" s="35"/>
    </row>
    <row r="432" spans="2:27" ht="9.9499999999999993" customHeight="1">
      <c r="B432" s="25"/>
      <c r="D432" s="26"/>
      <c r="E432" s="27"/>
      <c r="F432" s="34"/>
      <c r="G432" s="34"/>
      <c r="H432" s="34"/>
      <c r="I432" s="34"/>
      <c r="J432" s="34"/>
      <c r="K432" s="34"/>
      <c r="L432" s="34"/>
      <c r="M432" s="34"/>
      <c r="N432" s="34"/>
      <c r="O432" s="34"/>
      <c r="P432" s="34"/>
      <c r="Q432" s="35"/>
      <c r="R432" s="35"/>
    </row>
    <row r="433" spans="2:27" ht="9.9499999999999993" customHeight="1">
      <c r="B433" s="25"/>
      <c r="D433" s="26"/>
      <c r="E433" s="27"/>
      <c r="F433" s="34"/>
      <c r="G433" s="34"/>
      <c r="H433" s="34"/>
      <c r="I433" s="34"/>
      <c r="J433" s="34"/>
      <c r="K433" s="34"/>
      <c r="L433" s="34"/>
      <c r="M433" s="34"/>
      <c r="N433" s="34"/>
      <c r="O433" s="34"/>
      <c r="P433" s="34"/>
      <c r="Q433" s="35"/>
      <c r="R433" s="35"/>
    </row>
    <row r="434" spans="2:27" ht="9.9499999999999993" customHeight="1">
      <c r="B434" s="25"/>
      <c r="D434" s="26"/>
      <c r="E434" s="27"/>
      <c r="F434" s="34"/>
      <c r="G434" s="34"/>
      <c r="H434" s="34"/>
      <c r="I434" s="34"/>
      <c r="J434" s="34"/>
      <c r="K434" s="34"/>
      <c r="L434" s="34"/>
      <c r="M434" s="34"/>
      <c r="N434" s="34"/>
      <c r="O434" s="34"/>
      <c r="P434" s="34"/>
      <c r="Q434" s="35"/>
      <c r="R434" s="35"/>
    </row>
    <row r="435" spans="2:27" ht="9.9499999999999993" customHeight="1">
      <c r="B435" s="28"/>
      <c r="D435" s="26"/>
      <c r="E435" s="27"/>
      <c r="F435" s="34"/>
      <c r="G435" s="34"/>
      <c r="H435" s="34"/>
      <c r="I435" s="34"/>
      <c r="J435" s="34"/>
      <c r="K435" s="34"/>
      <c r="L435" s="34"/>
      <c r="M435" s="34"/>
      <c r="N435" s="34"/>
      <c r="O435" s="34"/>
      <c r="P435" s="34"/>
      <c r="Q435" s="35"/>
      <c r="R435" s="35"/>
    </row>
    <row r="436" spans="2:27" ht="9.9499999999999993" customHeight="1">
      <c r="B436" s="28"/>
      <c r="D436" s="26"/>
      <c r="E436" s="27"/>
      <c r="F436" s="34"/>
      <c r="G436" s="34"/>
      <c r="H436" s="34"/>
      <c r="I436" s="34"/>
      <c r="J436" s="34"/>
      <c r="K436" s="34"/>
      <c r="L436" s="34"/>
      <c r="M436" s="34"/>
      <c r="N436" s="34"/>
      <c r="O436" s="34"/>
      <c r="P436" s="34"/>
      <c r="Q436" s="35"/>
      <c r="R436" s="35"/>
    </row>
    <row r="437" spans="2:27" ht="9.9499999999999993" customHeight="1">
      <c r="F437" s="44"/>
      <c r="G437" s="44"/>
      <c r="H437" s="44"/>
      <c r="I437" s="44"/>
      <c r="J437" s="44"/>
      <c r="K437" s="35"/>
      <c r="L437" s="35"/>
      <c r="M437" s="35"/>
      <c r="N437" s="35"/>
      <c r="O437" s="35"/>
      <c r="P437" s="35"/>
      <c r="Q437" s="35"/>
      <c r="R437" s="35"/>
    </row>
    <row r="438" spans="2:27" ht="9.9499999999999993" customHeight="1">
      <c r="F438" s="35"/>
      <c r="G438" s="35"/>
      <c r="H438" s="35"/>
      <c r="I438" s="35"/>
      <c r="J438" s="35"/>
      <c r="K438" s="35"/>
      <c r="L438" s="35"/>
      <c r="M438" s="35"/>
      <c r="N438" s="35"/>
      <c r="O438" s="35"/>
      <c r="P438" s="35"/>
      <c r="Q438" s="35"/>
      <c r="R438" s="35"/>
    </row>
    <row r="439" spans="2:27" ht="9.9499999999999993" customHeight="1">
      <c r="F439" s="35"/>
      <c r="G439" s="35"/>
      <c r="H439" s="35"/>
      <c r="I439" s="35"/>
      <c r="J439" s="35"/>
      <c r="K439" s="35"/>
      <c r="L439" s="35"/>
      <c r="M439" s="35"/>
      <c r="N439" s="35"/>
      <c r="O439" s="35"/>
      <c r="P439" s="35"/>
      <c r="Q439" s="35"/>
      <c r="R439" s="35"/>
    </row>
    <row r="440" spans="2:27" ht="9.9499999999999993" customHeight="1">
      <c r="B440" s="25"/>
      <c r="D440" s="26"/>
      <c r="E440" s="27"/>
      <c r="F440" s="33"/>
      <c r="G440" s="33"/>
      <c r="H440" s="33"/>
      <c r="I440" s="33"/>
      <c r="J440" s="33"/>
      <c r="K440" s="33"/>
      <c r="L440" s="33"/>
      <c r="M440" s="33"/>
      <c r="N440" s="33"/>
      <c r="O440" s="33"/>
      <c r="P440" s="33"/>
      <c r="Q440" s="35"/>
      <c r="R440" s="35"/>
      <c r="AA440" t="s">
        <v>8</v>
      </c>
    </row>
    <row r="441" spans="2:27" ht="9.9499999999999993" customHeight="1">
      <c r="B441" s="25"/>
      <c r="D441" s="26"/>
      <c r="E441" s="27"/>
      <c r="F441" s="34"/>
      <c r="G441" s="34"/>
      <c r="H441" s="34"/>
      <c r="I441" s="34"/>
      <c r="J441" s="34"/>
      <c r="K441" s="34"/>
      <c r="L441" s="34"/>
      <c r="M441" s="34"/>
      <c r="N441" s="34"/>
      <c r="O441" s="34"/>
      <c r="P441" s="34"/>
      <c r="Q441" s="35"/>
      <c r="R441" s="35"/>
    </row>
    <row r="442" spans="2:27" ht="9.9499999999999993" customHeight="1">
      <c r="B442" s="25"/>
      <c r="D442" s="26"/>
      <c r="E442" s="27"/>
      <c r="F442" s="34"/>
      <c r="G442" s="34"/>
      <c r="H442" s="34"/>
      <c r="I442" s="34"/>
      <c r="J442" s="34"/>
      <c r="K442" s="34"/>
      <c r="L442" s="34"/>
      <c r="M442" s="34"/>
      <c r="N442" s="34"/>
      <c r="O442" s="34"/>
      <c r="P442" s="34"/>
      <c r="Q442" s="35"/>
      <c r="R442" s="35"/>
    </row>
    <row r="443" spans="2:27" ht="9.9499999999999993" customHeight="1">
      <c r="B443" s="25"/>
      <c r="D443" s="26"/>
      <c r="E443" s="27"/>
      <c r="F443" s="34"/>
      <c r="G443" s="34"/>
      <c r="H443" s="34"/>
      <c r="I443" s="34"/>
      <c r="J443" s="34"/>
      <c r="K443" s="34"/>
      <c r="L443" s="34"/>
      <c r="M443" s="34"/>
      <c r="N443" s="34"/>
      <c r="O443" s="34"/>
      <c r="P443" s="34"/>
      <c r="Q443" s="35"/>
      <c r="R443" s="35"/>
    </row>
    <row r="444" spans="2:27" ht="9.9499999999999993" customHeight="1">
      <c r="B444" s="25"/>
      <c r="D444" s="26"/>
      <c r="E444" s="27"/>
      <c r="F444" s="34"/>
      <c r="G444" s="34"/>
      <c r="H444" s="34"/>
      <c r="I444" s="34"/>
      <c r="J444" s="34"/>
      <c r="K444" s="34"/>
      <c r="L444" s="34"/>
      <c r="M444" s="34"/>
      <c r="N444" s="34"/>
      <c r="O444" s="34"/>
      <c r="P444" s="34"/>
      <c r="Q444" s="35"/>
      <c r="R444" s="35"/>
    </row>
    <row r="445" spans="2:27" ht="9.9499999999999993" customHeight="1">
      <c r="B445" s="25"/>
      <c r="D445" s="26"/>
      <c r="E445" s="27"/>
      <c r="F445" s="34"/>
      <c r="G445" s="34"/>
      <c r="H445" s="34"/>
      <c r="I445" s="34"/>
      <c r="J445" s="34"/>
      <c r="K445" s="34"/>
      <c r="L445" s="34"/>
      <c r="M445" s="34"/>
      <c r="N445" s="34"/>
      <c r="O445" s="34"/>
      <c r="P445" s="34"/>
      <c r="Q445" s="35"/>
      <c r="R445" s="35"/>
    </row>
    <row r="446" spans="2:27" ht="9.9499999999999993" customHeight="1">
      <c r="B446" s="25"/>
      <c r="D446" s="26"/>
      <c r="E446" s="27"/>
      <c r="F446" s="34"/>
      <c r="G446" s="34"/>
      <c r="H446" s="34"/>
      <c r="I446" s="34"/>
      <c r="J446" s="34"/>
      <c r="K446" s="34"/>
      <c r="L446" s="34"/>
      <c r="M446" s="34"/>
      <c r="N446" s="34"/>
      <c r="O446" s="34"/>
      <c r="P446" s="34"/>
      <c r="Q446" s="35"/>
      <c r="R446" s="35"/>
    </row>
    <row r="447" spans="2:27" ht="9.9499999999999993" customHeight="1">
      <c r="B447" s="28"/>
      <c r="D447" s="26"/>
      <c r="E447" s="27"/>
      <c r="F447" s="34"/>
      <c r="G447" s="34"/>
      <c r="H447" s="34"/>
      <c r="I447" s="34"/>
      <c r="J447" s="34"/>
      <c r="K447" s="34"/>
      <c r="L447" s="34"/>
      <c r="M447" s="34"/>
      <c r="N447" s="34"/>
      <c r="O447" s="34"/>
      <c r="P447" s="34"/>
      <c r="Q447" s="35"/>
      <c r="R447" s="35"/>
    </row>
    <row r="448" spans="2:27" ht="9.9499999999999993" customHeight="1">
      <c r="B448" s="28"/>
      <c r="D448" s="26"/>
      <c r="E448" s="27"/>
      <c r="F448" s="34"/>
      <c r="G448" s="34"/>
      <c r="H448" s="34"/>
      <c r="I448" s="34"/>
      <c r="J448" s="34"/>
      <c r="K448" s="34"/>
      <c r="L448" s="34"/>
      <c r="M448" s="34"/>
      <c r="N448" s="34"/>
      <c r="O448" s="34"/>
      <c r="P448" s="34"/>
      <c r="Q448" s="35"/>
      <c r="R448" s="35"/>
    </row>
    <row r="449" spans="2:27" ht="9.9499999999999993" customHeight="1">
      <c r="F449" s="44"/>
      <c r="G449" s="44"/>
      <c r="H449" s="44"/>
      <c r="I449" s="44"/>
      <c r="J449" s="44"/>
      <c r="K449" s="35"/>
      <c r="L449" s="35"/>
      <c r="M449" s="35"/>
      <c r="N449" s="35"/>
      <c r="O449" s="35"/>
      <c r="P449" s="35"/>
      <c r="Q449" s="35"/>
      <c r="R449" s="35"/>
    </row>
    <row r="450" spans="2:27" ht="9.9499999999999993" customHeight="1">
      <c r="F450" s="35"/>
      <c r="G450" s="35"/>
      <c r="H450" s="35"/>
      <c r="I450" s="35"/>
      <c r="J450" s="35"/>
      <c r="K450" s="35"/>
      <c r="L450" s="35"/>
      <c r="M450" s="35"/>
      <c r="N450" s="35"/>
      <c r="O450" s="35"/>
      <c r="P450" s="35"/>
      <c r="Q450" s="35"/>
      <c r="R450" s="35"/>
    </row>
    <row r="451" spans="2:27" ht="9.9499999999999993" customHeight="1">
      <c r="F451" s="35"/>
      <c r="G451" s="35"/>
      <c r="H451" s="35"/>
      <c r="I451" s="35"/>
      <c r="J451" s="35"/>
      <c r="K451" s="35"/>
      <c r="L451" s="35"/>
      <c r="M451" s="35"/>
      <c r="N451" s="35"/>
      <c r="O451" s="35"/>
      <c r="P451" s="35"/>
      <c r="Q451" s="35"/>
      <c r="R451" s="35"/>
    </row>
    <row r="452" spans="2:27" ht="9.9499999999999993" customHeight="1">
      <c r="B452" s="25"/>
      <c r="D452" s="26"/>
      <c r="E452" s="27"/>
      <c r="F452" s="33"/>
      <c r="G452" s="33"/>
      <c r="H452" s="33"/>
      <c r="I452" s="33"/>
      <c r="J452" s="33"/>
      <c r="K452" s="33"/>
      <c r="L452" s="33"/>
      <c r="M452" s="33"/>
      <c r="N452" s="33"/>
      <c r="O452" s="33"/>
      <c r="P452" s="33"/>
      <c r="Q452" s="35"/>
      <c r="R452" s="35"/>
      <c r="AA452" t="s">
        <v>8</v>
      </c>
    </row>
    <row r="453" spans="2:27" ht="9.9499999999999993" customHeight="1">
      <c r="B453" s="25"/>
      <c r="D453" s="26"/>
      <c r="E453" s="27"/>
      <c r="F453" s="34"/>
      <c r="G453" s="34"/>
      <c r="H453" s="34"/>
      <c r="I453" s="34"/>
      <c r="J453" s="34"/>
      <c r="K453" s="34"/>
      <c r="L453" s="34"/>
      <c r="M453" s="34"/>
      <c r="N453" s="34"/>
      <c r="O453" s="34"/>
      <c r="P453" s="34"/>
      <c r="Q453" s="35"/>
      <c r="R453" s="35"/>
    </row>
    <row r="454" spans="2:27" ht="9.9499999999999993" customHeight="1">
      <c r="B454" s="25"/>
      <c r="D454" s="26"/>
      <c r="E454" s="27"/>
      <c r="F454" s="34"/>
      <c r="G454" s="34"/>
      <c r="H454" s="34"/>
      <c r="I454" s="34"/>
      <c r="J454" s="34"/>
      <c r="K454" s="34"/>
      <c r="L454" s="34"/>
      <c r="M454" s="34"/>
      <c r="N454" s="34"/>
      <c r="O454" s="34"/>
      <c r="P454" s="34"/>
      <c r="Q454" s="35"/>
      <c r="R454" s="35"/>
    </row>
    <row r="455" spans="2:27" ht="9.9499999999999993" customHeight="1">
      <c r="B455" s="25"/>
      <c r="D455" s="26"/>
      <c r="E455" s="27"/>
      <c r="F455" s="34"/>
      <c r="G455" s="34"/>
      <c r="H455" s="34"/>
      <c r="I455" s="34"/>
      <c r="J455" s="34"/>
      <c r="K455" s="34"/>
      <c r="L455" s="34"/>
      <c r="M455" s="34"/>
      <c r="N455" s="34"/>
      <c r="O455" s="34"/>
      <c r="P455" s="34"/>
      <c r="Q455" s="35"/>
      <c r="R455" s="35"/>
    </row>
    <row r="456" spans="2:27" ht="9.9499999999999993" customHeight="1">
      <c r="B456" s="25"/>
      <c r="D456" s="26"/>
      <c r="E456" s="27"/>
      <c r="F456" s="34"/>
      <c r="G456" s="34"/>
      <c r="H456" s="34"/>
      <c r="I456" s="34"/>
      <c r="J456" s="34"/>
      <c r="K456" s="34"/>
      <c r="L456" s="34"/>
      <c r="M456" s="34"/>
      <c r="N456" s="34"/>
      <c r="O456" s="34"/>
      <c r="P456" s="34"/>
      <c r="Q456" s="35"/>
      <c r="R456" s="35"/>
    </row>
    <row r="457" spans="2:27" ht="9.9499999999999993" customHeight="1">
      <c r="B457" s="25"/>
      <c r="D457" s="26"/>
      <c r="E457" s="27"/>
      <c r="F457" s="34"/>
      <c r="G457" s="34"/>
      <c r="H457" s="34"/>
      <c r="I457" s="34"/>
      <c r="J457" s="34"/>
      <c r="K457" s="34"/>
      <c r="L457" s="34"/>
      <c r="M457" s="34"/>
      <c r="N457" s="34"/>
      <c r="O457" s="34"/>
      <c r="P457" s="34"/>
      <c r="Q457" s="35"/>
      <c r="R457" s="35"/>
    </row>
    <row r="458" spans="2:27" ht="9.9499999999999993" customHeight="1">
      <c r="B458" s="25"/>
      <c r="D458" s="26"/>
      <c r="E458" s="27"/>
      <c r="F458" s="34"/>
      <c r="G458" s="34"/>
      <c r="H458" s="34"/>
      <c r="I458" s="34"/>
      <c r="J458" s="34"/>
      <c r="K458" s="34"/>
      <c r="L458" s="34"/>
      <c r="M458" s="34"/>
      <c r="N458" s="34"/>
      <c r="O458" s="34"/>
      <c r="P458" s="34"/>
      <c r="Q458" s="35"/>
      <c r="R458" s="35"/>
    </row>
    <row r="459" spans="2:27" ht="9.9499999999999993" customHeight="1">
      <c r="B459" s="28"/>
      <c r="D459" s="26"/>
      <c r="E459" s="27"/>
      <c r="F459" s="34"/>
      <c r="G459" s="34"/>
      <c r="H459" s="34"/>
      <c r="I459" s="34"/>
      <c r="J459" s="34"/>
      <c r="K459" s="34"/>
      <c r="L459" s="34"/>
      <c r="M459" s="34"/>
      <c r="N459" s="34"/>
      <c r="O459" s="34"/>
      <c r="P459" s="34"/>
      <c r="Q459" s="35"/>
      <c r="R459" s="35"/>
    </row>
    <row r="460" spans="2:27" ht="9.9499999999999993" customHeight="1">
      <c r="B460" s="28"/>
      <c r="D460" s="26"/>
      <c r="E460" s="27"/>
      <c r="F460" s="34"/>
      <c r="G460" s="34"/>
      <c r="H460" s="34"/>
      <c r="I460" s="34"/>
      <c r="J460" s="34"/>
      <c r="K460" s="34"/>
      <c r="L460" s="34"/>
      <c r="M460" s="34"/>
      <c r="N460" s="34"/>
      <c r="O460" s="34"/>
      <c r="P460" s="34"/>
      <c r="Q460" s="35"/>
      <c r="R460" s="35"/>
    </row>
    <row r="461" spans="2:27" ht="9.9499999999999993" customHeight="1">
      <c r="F461" s="44"/>
      <c r="G461" s="44"/>
      <c r="H461" s="44"/>
      <c r="I461" s="44"/>
      <c r="J461" s="44"/>
      <c r="K461" s="35"/>
      <c r="L461" s="35"/>
      <c r="M461" s="35"/>
      <c r="N461" s="35"/>
      <c r="O461" s="35"/>
      <c r="P461" s="35"/>
      <c r="Q461" s="35"/>
      <c r="R461" s="35"/>
    </row>
    <row r="462" spans="2:27" ht="9.9499999999999993" customHeight="1">
      <c r="F462" s="35"/>
      <c r="G462" s="35"/>
      <c r="H462" s="35"/>
      <c r="I462" s="35"/>
      <c r="J462" s="35"/>
      <c r="K462" s="35"/>
      <c r="L462" s="35"/>
      <c r="M462" s="35"/>
      <c r="N462" s="35"/>
      <c r="O462" s="35"/>
      <c r="P462" s="35"/>
      <c r="Q462" s="35"/>
      <c r="R462" s="35"/>
    </row>
    <row r="463" spans="2:27" ht="9.9499999999999993" customHeight="1">
      <c r="F463" s="35"/>
      <c r="G463" s="35"/>
      <c r="H463" s="35"/>
      <c r="I463" s="35"/>
      <c r="J463" s="35"/>
      <c r="K463" s="35"/>
      <c r="L463" s="35"/>
      <c r="M463" s="35"/>
      <c r="N463" s="35"/>
      <c r="O463" s="35"/>
      <c r="P463" s="35"/>
      <c r="Q463" s="35"/>
      <c r="R463" s="35"/>
    </row>
    <row r="464" spans="2:27" ht="9.9499999999999993" customHeight="1">
      <c r="B464" s="25"/>
      <c r="D464" s="26"/>
      <c r="E464" s="27"/>
      <c r="F464" s="33"/>
      <c r="G464" s="33"/>
      <c r="H464" s="33"/>
      <c r="I464" s="33"/>
      <c r="J464" s="33"/>
      <c r="K464" s="33"/>
      <c r="L464" s="33"/>
      <c r="M464" s="33"/>
      <c r="N464" s="33"/>
      <c r="O464" s="33"/>
      <c r="P464" s="33"/>
      <c r="Q464" s="35"/>
      <c r="R464" s="35"/>
      <c r="AA464" t="s">
        <v>8</v>
      </c>
    </row>
    <row r="465" spans="2:27" ht="9.9499999999999993" customHeight="1">
      <c r="B465" s="25"/>
      <c r="D465" s="26"/>
      <c r="E465" s="27"/>
      <c r="F465" s="34"/>
      <c r="G465" s="34"/>
      <c r="H465" s="34"/>
      <c r="I465" s="34"/>
      <c r="J465" s="34"/>
      <c r="K465" s="34"/>
      <c r="L465" s="34"/>
      <c r="M465" s="34"/>
      <c r="N465" s="34"/>
      <c r="O465" s="34"/>
      <c r="P465" s="34"/>
      <c r="Q465" s="35"/>
      <c r="R465" s="35"/>
    </row>
    <row r="466" spans="2:27" ht="9.9499999999999993" customHeight="1">
      <c r="B466" s="25"/>
      <c r="D466" s="26"/>
      <c r="E466" s="27"/>
      <c r="F466" s="34"/>
      <c r="G466" s="34"/>
      <c r="H466" s="34"/>
      <c r="I466" s="34"/>
      <c r="J466" s="34"/>
      <c r="K466" s="34"/>
      <c r="L466" s="34"/>
      <c r="M466" s="34"/>
      <c r="N466" s="34"/>
      <c r="O466" s="34"/>
      <c r="P466" s="34"/>
      <c r="Q466" s="35"/>
      <c r="R466" s="35"/>
    </row>
    <row r="467" spans="2:27" ht="9.9499999999999993" customHeight="1">
      <c r="B467" s="25"/>
      <c r="D467" s="26"/>
      <c r="E467" s="27"/>
      <c r="F467" s="34"/>
      <c r="G467" s="34"/>
      <c r="H467" s="34"/>
      <c r="I467" s="34"/>
      <c r="J467" s="34"/>
      <c r="K467" s="34"/>
      <c r="L467" s="34"/>
      <c r="M467" s="34"/>
      <c r="N467" s="34"/>
      <c r="O467" s="34"/>
      <c r="P467" s="34"/>
      <c r="Q467" s="35"/>
      <c r="R467" s="35"/>
    </row>
    <row r="468" spans="2:27" ht="9.9499999999999993" customHeight="1">
      <c r="B468" s="25"/>
      <c r="D468" s="26"/>
      <c r="E468" s="27"/>
      <c r="F468" s="34"/>
      <c r="G468" s="34"/>
      <c r="H468" s="34"/>
      <c r="I468" s="34"/>
      <c r="J468" s="34"/>
      <c r="K468" s="34"/>
      <c r="L468" s="34"/>
      <c r="M468" s="34"/>
      <c r="N468" s="34"/>
      <c r="O468" s="34"/>
      <c r="P468" s="34"/>
      <c r="Q468" s="35"/>
      <c r="R468" s="35"/>
    </row>
    <row r="469" spans="2:27" ht="9.9499999999999993" customHeight="1">
      <c r="B469" s="25"/>
      <c r="D469" s="26"/>
      <c r="E469" s="27"/>
      <c r="F469" s="34"/>
      <c r="G469" s="34"/>
      <c r="H469" s="34"/>
      <c r="I469" s="34"/>
      <c r="J469" s="34"/>
      <c r="K469" s="34"/>
      <c r="L469" s="34"/>
      <c r="M469" s="34"/>
      <c r="N469" s="34"/>
      <c r="O469" s="34"/>
      <c r="P469" s="34"/>
      <c r="Q469" s="35"/>
      <c r="R469" s="35"/>
    </row>
    <row r="470" spans="2:27" ht="9.9499999999999993" customHeight="1">
      <c r="B470" s="25"/>
      <c r="D470" s="26"/>
      <c r="E470" s="27"/>
      <c r="F470" s="34"/>
      <c r="G470" s="34"/>
      <c r="H470" s="34"/>
      <c r="I470" s="34"/>
      <c r="J470" s="34"/>
      <c r="K470" s="34"/>
      <c r="L470" s="34"/>
      <c r="M470" s="34"/>
      <c r="N470" s="34"/>
      <c r="O470" s="34"/>
      <c r="P470" s="34"/>
      <c r="Q470" s="35"/>
      <c r="R470" s="35"/>
    </row>
    <row r="471" spans="2:27" ht="9.9499999999999993" customHeight="1">
      <c r="B471" s="28"/>
      <c r="D471" s="26"/>
      <c r="E471" s="27"/>
      <c r="F471" s="34"/>
      <c r="G471" s="34"/>
      <c r="H471" s="34"/>
      <c r="I471" s="34"/>
      <c r="J471" s="34"/>
      <c r="K471" s="34"/>
      <c r="L471" s="34"/>
      <c r="M471" s="34"/>
      <c r="N471" s="34"/>
      <c r="O471" s="34"/>
      <c r="P471" s="34"/>
      <c r="Q471" s="35"/>
      <c r="R471" s="35"/>
    </row>
    <row r="472" spans="2:27" ht="9.9499999999999993" customHeight="1">
      <c r="B472" s="28"/>
      <c r="D472" s="26"/>
      <c r="E472" s="27"/>
      <c r="F472" s="34"/>
      <c r="G472" s="34"/>
      <c r="H472" s="34"/>
      <c r="I472" s="34"/>
      <c r="J472" s="34"/>
      <c r="K472" s="34"/>
      <c r="L472" s="34"/>
      <c r="M472" s="34"/>
      <c r="N472" s="34"/>
      <c r="O472" s="34"/>
      <c r="P472" s="34"/>
      <c r="Q472" s="35"/>
      <c r="R472" s="35"/>
    </row>
    <row r="473" spans="2:27" ht="9.9499999999999993" customHeight="1">
      <c r="F473" s="44"/>
      <c r="G473" s="44"/>
      <c r="H473" s="44"/>
      <c r="I473" s="44"/>
      <c r="J473" s="44"/>
      <c r="K473" s="35"/>
      <c r="L473" s="35"/>
      <c r="M473" s="35"/>
      <c r="N473" s="35"/>
      <c r="O473" s="35"/>
      <c r="P473" s="35"/>
      <c r="Q473" s="35"/>
      <c r="R473" s="35"/>
      <c r="AA473" t="s">
        <v>9</v>
      </c>
    </row>
    <row r="474" spans="2:27" ht="9.9499999999999993" customHeight="1">
      <c r="F474" s="35"/>
      <c r="G474" s="35"/>
      <c r="H474" s="35"/>
      <c r="I474" s="35"/>
      <c r="J474" s="35"/>
      <c r="K474" s="35"/>
      <c r="L474" s="35"/>
      <c r="M474" s="35"/>
      <c r="N474" s="35"/>
      <c r="O474" s="35"/>
      <c r="P474" s="35"/>
      <c r="Q474" s="35"/>
      <c r="R474" s="35"/>
    </row>
    <row r="475" spans="2:27" ht="9.9499999999999993" customHeight="1">
      <c r="F475" s="35"/>
      <c r="G475" s="35"/>
      <c r="H475" s="35"/>
      <c r="I475" s="35"/>
      <c r="J475" s="35"/>
      <c r="K475" s="35"/>
      <c r="L475" s="35"/>
      <c r="M475" s="35"/>
      <c r="N475" s="35"/>
      <c r="O475" s="35"/>
      <c r="P475" s="35"/>
      <c r="Q475" s="35"/>
      <c r="R475" s="35"/>
    </row>
    <row r="476" spans="2:27" ht="9.9499999999999993" customHeight="1">
      <c r="F476" s="35"/>
      <c r="G476" s="35"/>
      <c r="H476" s="35"/>
      <c r="I476" s="35"/>
      <c r="J476" s="35"/>
      <c r="K476" s="35"/>
      <c r="L476" s="35"/>
      <c r="M476" s="35"/>
      <c r="N476" s="35"/>
      <c r="O476" s="35"/>
      <c r="P476" s="35"/>
      <c r="Q476" s="35"/>
      <c r="R476" s="35"/>
    </row>
    <row r="477" spans="2:27" ht="9.9499999999999993" customHeight="1">
      <c r="F477" s="35"/>
      <c r="G477" s="35"/>
      <c r="H477" s="35"/>
      <c r="I477" s="35"/>
      <c r="J477" s="35"/>
      <c r="K477" s="35"/>
      <c r="L477" s="35"/>
      <c r="M477" s="35"/>
      <c r="N477" s="35"/>
      <c r="O477" s="35"/>
      <c r="P477" s="35"/>
      <c r="Q477" s="35"/>
      <c r="R477" s="35"/>
    </row>
    <row r="478" spans="2:27" ht="9.9499999999999993" customHeight="1">
      <c r="F478" s="35"/>
      <c r="G478" s="35"/>
      <c r="H478" s="35"/>
      <c r="I478" s="35"/>
      <c r="J478" s="35"/>
      <c r="K478" s="35"/>
      <c r="L478" s="35"/>
      <c r="M478" s="35"/>
      <c r="N478" s="35"/>
      <c r="O478" s="35"/>
      <c r="P478" s="35"/>
      <c r="Q478" s="35"/>
      <c r="R478" s="35"/>
    </row>
    <row r="479" spans="2:27" ht="9.9499999999999993" customHeight="1">
      <c r="F479" s="35"/>
      <c r="G479" s="35"/>
      <c r="H479" s="35"/>
      <c r="I479" s="35"/>
      <c r="J479" s="35"/>
      <c r="K479" s="35"/>
      <c r="L479" s="35"/>
      <c r="M479" s="35"/>
      <c r="N479" s="35"/>
      <c r="O479" s="35"/>
      <c r="P479" s="35"/>
      <c r="Q479" s="35"/>
      <c r="R479" s="35"/>
    </row>
    <row r="480" spans="2:27" ht="9.9499999999999993" customHeight="1">
      <c r="F480" s="35"/>
      <c r="G480" s="35"/>
      <c r="H480" s="35"/>
      <c r="I480" s="35"/>
      <c r="J480" s="35"/>
      <c r="K480" s="35"/>
      <c r="L480" s="35"/>
      <c r="M480" s="35"/>
      <c r="N480" s="35"/>
      <c r="O480" s="35"/>
      <c r="P480" s="35"/>
      <c r="Q480" s="35"/>
      <c r="R480" s="35"/>
    </row>
    <row r="481" spans="6:18" ht="9.9499999999999993" customHeight="1">
      <c r="F481" s="35"/>
      <c r="G481" s="35"/>
      <c r="H481" s="35"/>
      <c r="I481" s="35"/>
      <c r="J481" s="35"/>
      <c r="K481" s="35"/>
      <c r="L481" s="35"/>
      <c r="M481" s="35"/>
      <c r="N481" s="35"/>
      <c r="O481" s="35"/>
      <c r="P481" s="35"/>
      <c r="Q481" s="35"/>
      <c r="R481" s="35"/>
    </row>
    <row r="482" spans="6:18" ht="9.9499999999999993" customHeight="1">
      <c r="F482" s="35"/>
      <c r="G482" s="35"/>
      <c r="H482" s="35"/>
      <c r="I482" s="35"/>
      <c r="J482" s="35"/>
      <c r="K482" s="35"/>
      <c r="L482" s="35"/>
      <c r="M482" s="35"/>
      <c r="N482" s="35"/>
      <c r="O482" s="35"/>
      <c r="P482" s="35"/>
      <c r="Q482" s="35"/>
      <c r="R482" s="35"/>
    </row>
    <row r="483" spans="6:18" ht="9.9499999999999993" customHeight="1">
      <c r="F483" s="35"/>
      <c r="G483" s="35"/>
      <c r="H483" s="35"/>
      <c r="I483" s="35"/>
      <c r="J483" s="35"/>
      <c r="K483" s="35"/>
      <c r="L483" s="35"/>
      <c r="M483" s="35"/>
      <c r="N483" s="35"/>
      <c r="O483" s="35"/>
      <c r="P483" s="35"/>
      <c r="Q483" s="35"/>
      <c r="R483" s="35"/>
    </row>
    <row r="484" spans="6:18" ht="9.9499999999999993" customHeight="1">
      <c r="F484" s="35"/>
      <c r="G484" s="35"/>
      <c r="H484" s="35"/>
      <c r="I484" s="35"/>
      <c r="J484" s="35"/>
      <c r="K484" s="35"/>
      <c r="L484" s="35"/>
      <c r="M484" s="35"/>
      <c r="N484" s="35"/>
      <c r="O484" s="35"/>
      <c r="P484" s="35"/>
      <c r="Q484" s="35"/>
      <c r="R484" s="35"/>
    </row>
    <row r="485" spans="6:18" ht="9.9499999999999993" customHeight="1">
      <c r="F485" s="35"/>
      <c r="G485" s="35"/>
      <c r="H485" s="35"/>
      <c r="I485" s="35"/>
      <c r="J485" s="35"/>
      <c r="K485" s="35"/>
      <c r="L485" s="35"/>
      <c r="M485" s="35"/>
      <c r="N485" s="35"/>
      <c r="O485" s="35"/>
      <c r="P485" s="35"/>
      <c r="Q485" s="35"/>
      <c r="R485" s="35"/>
    </row>
    <row r="486" spans="6:18" ht="9.9499999999999993" customHeight="1">
      <c r="F486" s="35"/>
      <c r="G486" s="35"/>
      <c r="H486" s="35"/>
      <c r="I486" s="35"/>
      <c r="J486" s="35"/>
      <c r="K486" s="35"/>
      <c r="L486" s="35"/>
      <c r="M486" s="35"/>
      <c r="N486" s="35"/>
      <c r="O486" s="35"/>
      <c r="P486" s="35"/>
      <c r="Q486" s="35"/>
      <c r="R486" s="35"/>
    </row>
    <row r="487" spans="6:18" ht="9.9499999999999993" customHeight="1">
      <c r="F487" s="35"/>
      <c r="G487" s="35"/>
      <c r="H487" s="35"/>
      <c r="I487" s="35"/>
      <c r="J487" s="35"/>
      <c r="K487" s="35"/>
      <c r="L487" s="35"/>
      <c r="M487" s="35"/>
      <c r="N487" s="35"/>
      <c r="O487" s="35"/>
      <c r="P487" s="35"/>
      <c r="Q487" s="35"/>
      <c r="R487" s="35"/>
    </row>
    <row r="488" spans="6:18" ht="9.9499999999999993" customHeight="1">
      <c r="F488" s="35"/>
      <c r="G488" s="35"/>
      <c r="H488" s="35"/>
      <c r="I488" s="35"/>
      <c r="J488" s="35"/>
      <c r="K488" s="35"/>
      <c r="L488" s="35"/>
      <c r="M488" s="35"/>
      <c r="N488" s="35"/>
      <c r="O488" s="35"/>
      <c r="P488" s="35"/>
      <c r="Q488" s="35"/>
      <c r="R488" s="35"/>
    </row>
    <row r="489" spans="6:18" ht="9.9499999999999993" customHeight="1">
      <c r="F489" s="35"/>
      <c r="G489" s="35"/>
      <c r="H489" s="35"/>
      <c r="I489" s="35"/>
      <c r="J489" s="35"/>
      <c r="K489" s="35"/>
      <c r="L489" s="35"/>
      <c r="M489" s="35"/>
      <c r="N489" s="35"/>
      <c r="O489" s="35"/>
      <c r="P489" s="35"/>
      <c r="Q489" s="35"/>
      <c r="R489" s="35"/>
    </row>
    <row r="490" spans="6:18" ht="9.9499999999999993" customHeight="1">
      <c r="F490" s="35"/>
      <c r="G490" s="35"/>
      <c r="H490" s="35"/>
      <c r="I490" s="35"/>
      <c r="J490" s="35"/>
      <c r="K490" s="35"/>
      <c r="L490" s="35"/>
      <c r="M490" s="35"/>
      <c r="N490" s="35"/>
      <c r="O490" s="35"/>
      <c r="P490" s="35"/>
      <c r="Q490" s="35"/>
      <c r="R490" s="35"/>
    </row>
    <row r="491" spans="6:18" ht="9.9499999999999993" customHeight="1">
      <c r="F491" s="35"/>
      <c r="G491" s="35"/>
      <c r="H491" s="35"/>
      <c r="I491" s="35"/>
      <c r="J491" s="35"/>
      <c r="K491" s="35"/>
      <c r="L491" s="35"/>
      <c r="M491" s="35"/>
      <c r="N491" s="35"/>
      <c r="O491" s="35"/>
      <c r="P491" s="35"/>
      <c r="Q491" s="35"/>
      <c r="R491" s="35"/>
    </row>
    <row r="492" spans="6:18" ht="9.9499999999999993" customHeight="1">
      <c r="F492" s="35"/>
      <c r="G492" s="35"/>
      <c r="H492" s="35"/>
      <c r="I492" s="35"/>
      <c r="J492" s="35"/>
      <c r="K492" s="35"/>
      <c r="L492" s="35"/>
      <c r="M492" s="35"/>
      <c r="N492" s="35"/>
      <c r="O492" s="35"/>
      <c r="P492" s="35"/>
      <c r="Q492" s="35"/>
      <c r="R492" s="35"/>
    </row>
    <row r="493" spans="6:18" ht="9.9499999999999993" customHeight="1">
      <c r="F493" s="35"/>
      <c r="G493" s="35"/>
      <c r="H493" s="35"/>
      <c r="I493" s="35"/>
      <c r="J493" s="35"/>
      <c r="K493" s="35"/>
      <c r="L493" s="35"/>
      <c r="M493" s="35"/>
      <c r="N493" s="35"/>
      <c r="O493" s="35"/>
      <c r="P493" s="35"/>
      <c r="Q493" s="35"/>
      <c r="R493" s="35"/>
    </row>
    <row r="494" spans="6:18" ht="9.9499999999999993" customHeight="1">
      <c r="F494" s="35"/>
      <c r="G494" s="35"/>
      <c r="H494" s="35"/>
      <c r="I494" s="35"/>
      <c r="J494" s="35"/>
      <c r="K494" s="35"/>
      <c r="L494" s="35"/>
      <c r="M494" s="35"/>
      <c r="N494" s="35"/>
      <c r="O494" s="35"/>
      <c r="P494" s="35"/>
      <c r="Q494" s="35"/>
      <c r="R494" s="35"/>
    </row>
    <row r="495" spans="6:18" ht="9.9499999999999993" customHeight="1">
      <c r="F495" s="35"/>
      <c r="G495" s="35"/>
      <c r="H495" s="35"/>
      <c r="I495" s="35"/>
      <c r="J495" s="35"/>
      <c r="K495" s="35"/>
      <c r="L495" s="35"/>
      <c r="M495" s="35"/>
      <c r="N495" s="35"/>
      <c r="O495" s="35"/>
      <c r="P495" s="35"/>
      <c r="Q495" s="35"/>
      <c r="R495" s="35"/>
    </row>
    <row r="496" spans="6:18" ht="9.9499999999999993" customHeight="1">
      <c r="F496" s="35"/>
      <c r="G496" s="35"/>
      <c r="H496" s="35"/>
      <c r="I496" s="35"/>
      <c r="J496" s="35"/>
      <c r="K496" s="35"/>
      <c r="L496" s="35"/>
      <c r="M496" s="35"/>
      <c r="N496" s="35"/>
      <c r="O496" s="35"/>
      <c r="P496" s="35"/>
      <c r="Q496" s="35"/>
      <c r="R496" s="35"/>
    </row>
    <row r="497" spans="2:27" ht="9.9499999999999993" customHeight="1">
      <c r="F497" s="35"/>
      <c r="G497" s="35"/>
      <c r="H497" s="35"/>
      <c r="I497" s="35"/>
      <c r="J497" s="35"/>
      <c r="K497" s="35"/>
      <c r="L497" s="35"/>
      <c r="M497" s="35"/>
      <c r="N497" s="35"/>
      <c r="O497" s="35"/>
      <c r="P497" s="35"/>
      <c r="Q497" s="35"/>
      <c r="R497" s="35"/>
    </row>
    <row r="498" spans="2:27" ht="9.9499999999999993" customHeight="1">
      <c r="F498" s="35"/>
      <c r="G498" s="35"/>
      <c r="H498" s="35"/>
      <c r="I498" s="35"/>
      <c r="J498" s="35"/>
      <c r="K498" s="35"/>
      <c r="L498" s="35"/>
      <c r="M498" s="35"/>
      <c r="N498" s="35"/>
      <c r="O498" s="35"/>
      <c r="P498" s="35"/>
      <c r="Q498" s="35"/>
      <c r="R498" s="35"/>
    </row>
    <row r="499" spans="2:27" ht="9.9499999999999993" customHeight="1">
      <c r="F499" s="35"/>
      <c r="G499" s="35"/>
      <c r="H499" s="35"/>
      <c r="I499" s="35"/>
      <c r="J499" s="35"/>
      <c r="K499" s="35"/>
      <c r="L499" s="35"/>
      <c r="M499" s="35"/>
      <c r="N499" s="35"/>
      <c r="O499" s="35"/>
      <c r="P499" s="35"/>
      <c r="Q499" s="35"/>
      <c r="R499" s="35"/>
    </row>
    <row r="500" spans="2:27" ht="9.9499999999999993" customHeight="1">
      <c r="F500" s="35"/>
      <c r="G500" s="35"/>
      <c r="H500" s="35"/>
      <c r="I500" s="35"/>
      <c r="J500" s="35"/>
      <c r="K500" s="35"/>
      <c r="L500" s="35"/>
      <c r="M500" s="35"/>
      <c r="N500" s="35"/>
      <c r="O500" s="35"/>
      <c r="P500" s="35"/>
      <c r="Q500" s="35"/>
      <c r="R500" s="35"/>
    </row>
    <row r="501" spans="2:27" ht="9.9499999999999993" customHeight="1">
      <c r="F501" s="35"/>
      <c r="G501" s="35"/>
      <c r="H501" s="35"/>
      <c r="I501" s="35"/>
      <c r="J501" s="35"/>
      <c r="K501" s="35"/>
      <c r="L501" s="35"/>
      <c r="M501" s="35"/>
      <c r="N501" s="35"/>
      <c r="O501" s="35"/>
      <c r="P501" s="35"/>
      <c r="Q501" s="35"/>
      <c r="R501" s="35"/>
      <c r="AA501" t="s">
        <v>7</v>
      </c>
    </row>
    <row r="502" spans="2:27" ht="9.9499999999999993" customHeight="1">
      <c r="F502" s="35"/>
      <c r="G502" s="35"/>
      <c r="H502" s="35"/>
      <c r="I502" s="35"/>
      <c r="J502" s="35"/>
      <c r="K502" s="35"/>
      <c r="L502" s="35"/>
      <c r="M502" s="35"/>
      <c r="N502" s="35"/>
      <c r="O502" s="35"/>
      <c r="P502" s="35"/>
      <c r="Q502" s="35"/>
      <c r="R502" s="35"/>
    </row>
    <row r="503" spans="2:27" ht="9.9499999999999993" customHeight="1">
      <c r="F503" s="35"/>
      <c r="G503" s="35"/>
      <c r="H503" s="35"/>
      <c r="I503" s="35"/>
      <c r="J503" s="35"/>
      <c r="K503" s="35"/>
      <c r="L503" s="35"/>
      <c r="M503" s="35"/>
      <c r="N503" s="35"/>
      <c r="O503" s="35"/>
      <c r="P503" s="35"/>
      <c r="Q503" s="35"/>
      <c r="R503" s="35"/>
    </row>
    <row r="504" spans="2:27" ht="9.9499999999999993" customHeight="1">
      <c r="B504" s="25"/>
      <c r="D504" s="26"/>
      <c r="E504" s="27"/>
      <c r="F504" s="33"/>
      <c r="G504" s="33"/>
      <c r="H504" s="33"/>
      <c r="I504" s="33"/>
      <c r="J504" s="33"/>
      <c r="K504" s="33"/>
      <c r="L504" s="33"/>
      <c r="M504" s="33"/>
      <c r="N504" s="33"/>
      <c r="O504" s="33"/>
      <c r="P504" s="33"/>
      <c r="Q504" s="35"/>
      <c r="R504" s="35"/>
      <c r="AA504" t="s">
        <v>8</v>
      </c>
    </row>
    <row r="505" spans="2:27" ht="9.9499999999999993" customHeight="1">
      <c r="B505" s="25"/>
      <c r="D505" s="26"/>
      <c r="E505" s="27"/>
      <c r="F505" s="34"/>
      <c r="G505" s="34"/>
      <c r="H505" s="34"/>
      <c r="I505" s="34"/>
      <c r="J505" s="34"/>
      <c r="K505" s="34"/>
      <c r="L505" s="34"/>
      <c r="M505" s="34"/>
      <c r="N505" s="34"/>
      <c r="O505" s="34"/>
      <c r="P505" s="34"/>
      <c r="Q505" s="35"/>
      <c r="R505" s="35"/>
    </row>
    <row r="506" spans="2:27" ht="9.9499999999999993" customHeight="1">
      <c r="B506" s="25"/>
      <c r="D506" s="26"/>
      <c r="E506" s="27"/>
      <c r="F506" s="34"/>
      <c r="G506" s="34"/>
      <c r="H506" s="34"/>
      <c r="I506" s="34"/>
      <c r="J506" s="34"/>
      <c r="K506" s="34"/>
      <c r="L506" s="34"/>
      <c r="M506" s="34"/>
      <c r="N506" s="34"/>
      <c r="O506" s="34"/>
      <c r="P506" s="34"/>
      <c r="Q506" s="35"/>
      <c r="R506" s="35"/>
    </row>
    <row r="507" spans="2:27" ht="9.9499999999999993" customHeight="1">
      <c r="B507" s="25"/>
      <c r="D507" s="26"/>
      <c r="E507" s="27"/>
      <c r="F507" s="34"/>
      <c r="G507" s="34"/>
      <c r="H507" s="34"/>
      <c r="I507" s="34"/>
      <c r="J507" s="34"/>
      <c r="K507" s="34"/>
      <c r="L507" s="34"/>
      <c r="M507" s="34"/>
      <c r="N507" s="34"/>
      <c r="O507" s="34"/>
      <c r="P507" s="34"/>
      <c r="Q507" s="35"/>
      <c r="R507" s="35"/>
    </row>
    <row r="508" spans="2:27" ht="9.9499999999999993" customHeight="1">
      <c r="B508" s="25"/>
      <c r="D508" s="26"/>
      <c r="E508" s="27"/>
      <c r="F508" s="34"/>
      <c r="G508" s="34"/>
      <c r="H508" s="34"/>
      <c r="I508" s="34"/>
      <c r="J508" s="34"/>
      <c r="K508" s="34"/>
      <c r="L508" s="34"/>
      <c r="M508" s="34"/>
      <c r="N508" s="34"/>
      <c r="O508" s="34"/>
      <c r="P508" s="34"/>
      <c r="Q508" s="35"/>
      <c r="R508" s="35"/>
    </row>
    <row r="509" spans="2:27" ht="9.9499999999999993" customHeight="1">
      <c r="B509" s="25"/>
      <c r="D509" s="26"/>
      <c r="E509" s="27"/>
      <c r="F509" s="34"/>
      <c r="G509" s="34"/>
      <c r="H509" s="34"/>
      <c r="I509" s="34"/>
      <c r="J509" s="34"/>
      <c r="K509" s="34"/>
      <c r="L509" s="34"/>
      <c r="M509" s="34"/>
      <c r="N509" s="34"/>
      <c r="O509" s="34"/>
      <c r="P509" s="34"/>
      <c r="Q509" s="35"/>
      <c r="R509" s="35"/>
    </row>
    <row r="510" spans="2:27" ht="9.9499999999999993" customHeight="1">
      <c r="B510" s="25"/>
      <c r="D510" s="26"/>
      <c r="E510" s="27"/>
      <c r="F510" s="34"/>
      <c r="G510" s="34"/>
      <c r="H510" s="34"/>
      <c r="I510" s="34"/>
      <c r="J510" s="34"/>
      <c r="K510" s="34"/>
      <c r="L510" s="34"/>
      <c r="M510" s="34"/>
      <c r="N510" s="34"/>
      <c r="O510" s="34"/>
      <c r="P510" s="34"/>
      <c r="Q510" s="35"/>
      <c r="R510" s="35"/>
    </row>
    <row r="511" spans="2:27" ht="9.9499999999999993" customHeight="1">
      <c r="B511" s="28"/>
      <c r="D511" s="26"/>
      <c r="E511" s="27"/>
      <c r="F511" s="34"/>
      <c r="G511" s="34"/>
      <c r="H511" s="34"/>
      <c r="I511" s="34"/>
      <c r="J511" s="34"/>
      <c r="K511" s="34"/>
      <c r="L511" s="34"/>
      <c r="M511" s="34"/>
      <c r="N511" s="34"/>
      <c r="O511" s="34"/>
      <c r="P511" s="34"/>
      <c r="Q511" s="35"/>
      <c r="R511" s="35"/>
    </row>
    <row r="512" spans="2:27" ht="9.9499999999999993" customHeight="1">
      <c r="B512" s="28"/>
      <c r="D512" s="26"/>
      <c r="E512" s="27"/>
      <c r="F512" s="34"/>
      <c r="G512" s="34"/>
      <c r="H512" s="34"/>
      <c r="I512" s="34"/>
      <c r="J512" s="34"/>
      <c r="K512" s="34"/>
      <c r="L512" s="34"/>
      <c r="M512" s="34"/>
      <c r="N512" s="34"/>
      <c r="O512" s="34"/>
      <c r="P512" s="34"/>
      <c r="Q512" s="35"/>
      <c r="R512" s="35"/>
    </row>
    <row r="513" spans="2:27" ht="9.9499999999999993" customHeight="1">
      <c r="F513" s="44"/>
      <c r="G513" s="44"/>
      <c r="H513" s="44"/>
      <c r="I513" s="44"/>
      <c r="J513" s="44"/>
      <c r="K513" s="35"/>
      <c r="L513" s="35"/>
      <c r="M513" s="35"/>
      <c r="N513" s="35"/>
      <c r="O513" s="35"/>
      <c r="P513" s="35"/>
      <c r="Q513" s="35"/>
      <c r="R513" s="35"/>
    </row>
    <row r="514" spans="2:27" ht="9.9499999999999993" customHeight="1">
      <c r="F514" s="35"/>
      <c r="G514" s="35"/>
      <c r="H514" s="35"/>
      <c r="I514" s="35"/>
      <c r="J514" s="35"/>
      <c r="K514" s="35"/>
      <c r="L514" s="35"/>
      <c r="M514" s="35"/>
      <c r="N514" s="35"/>
      <c r="O514" s="35"/>
      <c r="P514" s="35"/>
      <c r="Q514" s="35"/>
      <c r="R514" s="35"/>
    </row>
    <row r="515" spans="2:27" ht="9.9499999999999993" customHeight="1">
      <c r="F515" s="35"/>
      <c r="G515" s="35"/>
      <c r="H515" s="35"/>
      <c r="I515" s="35"/>
      <c r="J515" s="35"/>
      <c r="K515" s="35"/>
      <c r="L515" s="35"/>
      <c r="M515" s="35"/>
      <c r="N515" s="35"/>
      <c r="O515" s="35"/>
      <c r="P515" s="35"/>
      <c r="Q515" s="35"/>
      <c r="R515" s="35"/>
    </row>
    <row r="516" spans="2:27" ht="9.9499999999999993" customHeight="1">
      <c r="B516" s="25"/>
      <c r="D516" s="26"/>
      <c r="E516" s="27"/>
      <c r="F516" s="33"/>
      <c r="G516" s="33"/>
      <c r="H516" s="33"/>
      <c r="I516" s="33"/>
      <c r="J516" s="33"/>
      <c r="K516" s="33"/>
      <c r="L516" s="33"/>
      <c r="M516" s="33"/>
      <c r="N516" s="33"/>
      <c r="O516" s="33"/>
      <c r="P516" s="33"/>
      <c r="Q516" s="35"/>
      <c r="R516" s="35"/>
      <c r="AA516" t="s">
        <v>8</v>
      </c>
    </row>
    <row r="517" spans="2:27" ht="9.9499999999999993" customHeight="1">
      <c r="B517" s="25"/>
      <c r="D517" s="26"/>
      <c r="E517" s="27"/>
      <c r="F517" s="34"/>
      <c r="G517" s="34"/>
      <c r="H517" s="34"/>
      <c r="I517" s="34"/>
      <c r="J517" s="34"/>
      <c r="K517" s="34"/>
      <c r="L517" s="34"/>
      <c r="M517" s="34"/>
      <c r="N517" s="34"/>
      <c r="O517" s="34"/>
      <c r="P517" s="34"/>
      <c r="Q517" s="35"/>
      <c r="R517" s="35"/>
    </row>
    <row r="518" spans="2:27" ht="9.9499999999999993" customHeight="1">
      <c r="B518" s="25"/>
      <c r="D518" s="26"/>
      <c r="E518" s="27"/>
      <c r="F518" s="34"/>
      <c r="G518" s="34"/>
      <c r="H518" s="34"/>
      <c r="I518" s="34"/>
      <c r="J518" s="34"/>
      <c r="K518" s="34"/>
      <c r="L518" s="34"/>
      <c r="M518" s="34"/>
      <c r="N518" s="34"/>
      <c r="O518" s="34"/>
      <c r="P518" s="34"/>
      <c r="Q518" s="35"/>
      <c r="R518" s="35"/>
    </row>
    <row r="519" spans="2:27" ht="9.9499999999999993" customHeight="1">
      <c r="B519" s="25"/>
      <c r="D519" s="26"/>
      <c r="E519" s="27"/>
      <c r="F519" s="34"/>
      <c r="G519" s="34"/>
      <c r="H519" s="34"/>
      <c r="I519" s="34"/>
      <c r="J519" s="34"/>
      <c r="K519" s="34"/>
      <c r="L519" s="34"/>
      <c r="M519" s="34"/>
      <c r="N519" s="34"/>
      <c r="O519" s="34"/>
      <c r="P519" s="34"/>
      <c r="Q519" s="35"/>
      <c r="R519" s="35"/>
    </row>
    <row r="520" spans="2:27" ht="9.9499999999999993" customHeight="1">
      <c r="B520" s="25"/>
      <c r="D520" s="26"/>
      <c r="E520" s="27"/>
      <c r="F520" s="34"/>
      <c r="G520" s="34"/>
      <c r="H520" s="34"/>
      <c r="I520" s="34"/>
      <c r="J520" s="34"/>
      <c r="K520" s="34"/>
      <c r="L520" s="34"/>
      <c r="M520" s="34"/>
      <c r="N520" s="34"/>
      <c r="O520" s="34"/>
      <c r="P520" s="34"/>
      <c r="Q520" s="35"/>
      <c r="R520" s="35"/>
    </row>
    <row r="521" spans="2:27" ht="9.9499999999999993" customHeight="1">
      <c r="B521" s="25"/>
      <c r="D521" s="26"/>
      <c r="E521" s="27"/>
      <c r="F521" s="34"/>
      <c r="G521" s="34"/>
      <c r="H521" s="34"/>
      <c r="I521" s="34"/>
      <c r="J521" s="34"/>
      <c r="K521" s="34"/>
      <c r="L521" s="34"/>
      <c r="M521" s="34"/>
      <c r="N521" s="34"/>
      <c r="O521" s="34"/>
      <c r="P521" s="34"/>
      <c r="Q521" s="35"/>
      <c r="R521" s="35"/>
    </row>
    <row r="522" spans="2:27" ht="9.9499999999999993" customHeight="1">
      <c r="B522" s="25"/>
      <c r="D522" s="26"/>
      <c r="E522" s="27"/>
      <c r="F522" s="34"/>
      <c r="G522" s="34"/>
      <c r="H522" s="34"/>
      <c r="I522" s="34"/>
      <c r="J522" s="34"/>
      <c r="K522" s="34"/>
      <c r="L522" s="34"/>
      <c r="M522" s="34"/>
      <c r="N522" s="34"/>
      <c r="O522" s="34"/>
      <c r="P522" s="34"/>
      <c r="Q522" s="35"/>
      <c r="R522" s="35"/>
    </row>
    <row r="523" spans="2:27" ht="9.9499999999999993" customHeight="1">
      <c r="B523" s="28"/>
      <c r="D523" s="26"/>
      <c r="E523" s="27"/>
      <c r="F523" s="34"/>
      <c r="G523" s="34"/>
      <c r="H523" s="34"/>
      <c r="I523" s="34"/>
      <c r="J523" s="34"/>
      <c r="K523" s="34"/>
      <c r="L523" s="34"/>
      <c r="M523" s="34"/>
      <c r="N523" s="34"/>
      <c r="O523" s="34"/>
      <c r="P523" s="34"/>
      <c r="Q523" s="35"/>
      <c r="R523" s="35"/>
    </row>
    <row r="524" spans="2:27" ht="9.9499999999999993" customHeight="1">
      <c r="B524" s="28"/>
      <c r="D524" s="26"/>
      <c r="E524" s="27"/>
      <c r="F524" s="34"/>
      <c r="G524" s="34"/>
      <c r="H524" s="34"/>
      <c r="I524" s="34"/>
      <c r="J524" s="34"/>
      <c r="K524" s="34"/>
      <c r="L524" s="34"/>
      <c r="M524" s="34"/>
      <c r="N524" s="34"/>
      <c r="O524" s="34"/>
      <c r="P524" s="34"/>
      <c r="Q524" s="35"/>
      <c r="R524" s="35"/>
    </row>
    <row r="525" spans="2:27" ht="9.9499999999999993" customHeight="1">
      <c r="F525" s="44"/>
      <c r="G525" s="44"/>
      <c r="H525" s="44"/>
      <c r="I525" s="44"/>
      <c r="J525" s="44"/>
      <c r="K525" s="35"/>
      <c r="L525" s="35"/>
      <c r="M525" s="35"/>
      <c r="N525" s="35"/>
      <c r="O525" s="35"/>
      <c r="P525" s="35"/>
      <c r="Q525" s="35"/>
      <c r="R525" s="35"/>
    </row>
    <row r="526" spans="2:27" ht="9.9499999999999993" customHeight="1">
      <c r="F526" s="35"/>
      <c r="G526" s="35"/>
      <c r="H526" s="35"/>
      <c r="I526" s="35"/>
      <c r="J526" s="35"/>
      <c r="K526" s="35"/>
      <c r="L526" s="35"/>
      <c r="M526" s="35"/>
      <c r="N526" s="35"/>
      <c r="O526" s="35"/>
      <c r="P526" s="35"/>
      <c r="Q526" s="35"/>
      <c r="R526" s="35"/>
    </row>
    <row r="527" spans="2:27" ht="9.9499999999999993" customHeight="1">
      <c r="F527" s="35"/>
      <c r="G527" s="35"/>
      <c r="H527" s="35"/>
      <c r="I527" s="35"/>
      <c r="J527" s="35"/>
      <c r="K527" s="35"/>
      <c r="L527" s="35"/>
      <c r="M527" s="35"/>
      <c r="N527" s="35"/>
      <c r="O527" s="35"/>
      <c r="P527" s="35"/>
      <c r="Q527" s="35"/>
      <c r="R527" s="35"/>
    </row>
    <row r="528" spans="2:27" ht="9.9499999999999993" customHeight="1">
      <c r="B528" s="25"/>
      <c r="D528" s="26"/>
      <c r="E528" s="27"/>
      <c r="F528" s="33"/>
      <c r="G528" s="33"/>
      <c r="H528" s="33"/>
      <c r="I528" s="33"/>
      <c r="J528" s="33"/>
      <c r="K528" s="33"/>
      <c r="L528" s="33"/>
      <c r="M528" s="33"/>
      <c r="N528" s="33"/>
      <c r="O528" s="33"/>
      <c r="P528" s="33"/>
      <c r="Q528" s="35"/>
      <c r="R528" s="35"/>
      <c r="AA528" t="s">
        <v>8</v>
      </c>
    </row>
    <row r="529" spans="2:27" ht="9.9499999999999993" customHeight="1">
      <c r="B529" s="25"/>
      <c r="D529" s="26"/>
      <c r="E529" s="27"/>
      <c r="F529" s="34"/>
      <c r="G529" s="34"/>
      <c r="H529" s="34"/>
      <c r="I529" s="34"/>
      <c r="J529" s="34"/>
      <c r="K529" s="34"/>
      <c r="L529" s="34"/>
      <c r="M529" s="34"/>
      <c r="N529" s="34"/>
      <c r="O529" s="34"/>
      <c r="P529" s="34"/>
      <c r="Q529" s="35"/>
      <c r="R529" s="35"/>
    </row>
    <row r="530" spans="2:27" ht="9.9499999999999993" customHeight="1">
      <c r="B530" s="25"/>
      <c r="D530" s="26"/>
      <c r="E530" s="27"/>
      <c r="F530" s="34"/>
      <c r="G530" s="34"/>
      <c r="H530" s="34"/>
      <c r="I530" s="34"/>
      <c r="J530" s="34"/>
      <c r="K530" s="34"/>
      <c r="L530" s="34"/>
      <c r="M530" s="34"/>
      <c r="N530" s="34"/>
      <c r="O530" s="34"/>
      <c r="P530" s="34"/>
      <c r="Q530" s="35"/>
      <c r="R530" s="35"/>
    </row>
    <row r="531" spans="2:27" ht="9.9499999999999993" customHeight="1">
      <c r="B531" s="25"/>
      <c r="D531" s="26"/>
      <c r="E531" s="27"/>
      <c r="F531" s="34"/>
      <c r="G531" s="34"/>
      <c r="H531" s="34"/>
      <c r="I531" s="34"/>
      <c r="J531" s="34"/>
      <c r="K531" s="34"/>
      <c r="L531" s="34"/>
      <c r="M531" s="34"/>
      <c r="N531" s="34"/>
      <c r="O531" s="34"/>
      <c r="P531" s="34"/>
      <c r="Q531" s="35"/>
      <c r="R531" s="35"/>
    </row>
    <row r="532" spans="2:27" ht="9.9499999999999993" customHeight="1">
      <c r="B532" s="25"/>
      <c r="D532" s="26"/>
      <c r="E532" s="27"/>
      <c r="F532" s="34"/>
      <c r="G532" s="34"/>
      <c r="H532" s="34"/>
      <c r="I532" s="34"/>
      <c r="J532" s="34"/>
      <c r="K532" s="34"/>
      <c r="L532" s="34"/>
      <c r="M532" s="34"/>
      <c r="N532" s="34"/>
      <c r="O532" s="34"/>
      <c r="P532" s="34"/>
      <c r="Q532" s="35"/>
      <c r="R532" s="35"/>
    </row>
    <row r="533" spans="2:27" ht="9.9499999999999993" customHeight="1">
      <c r="B533" s="25"/>
      <c r="D533" s="26"/>
      <c r="E533" s="27"/>
      <c r="F533" s="34"/>
      <c r="G533" s="34"/>
      <c r="H533" s="34"/>
      <c r="I533" s="34"/>
      <c r="J533" s="34"/>
      <c r="K533" s="34"/>
      <c r="L533" s="34"/>
      <c r="M533" s="34"/>
      <c r="N533" s="34"/>
      <c r="O533" s="34"/>
      <c r="P533" s="34"/>
      <c r="Q533" s="35"/>
      <c r="R533" s="35"/>
    </row>
    <row r="534" spans="2:27" ht="9.9499999999999993" customHeight="1">
      <c r="B534" s="25"/>
      <c r="D534" s="26"/>
      <c r="E534" s="27"/>
      <c r="F534" s="34"/>
      <c r="G534" s="34"/>
      <c r="H534" s="34"/>
      <c r="I534" s="34"/>
      <c r="J534" s="34"/>
      <c r="K534" s="34"/>
      <c r="L534" s="34"/>
      <c r="M534" s="34"/>
      <c r="N534" s="34"/>
      <c r="O534" s="34"/>
      <c r="P534" s="34"/>
      <c r="Q534" s="35"/>
      <c r="R534" s="35"/>
    </row>
    <row r="535" spans="2:27" ht="9.9499999999999993" customHeight="1">
      <c r="B535" s="28"/>
      <c r="D535" s="26"/>
      <c r="E535" s="27"/>
      <c r="F535" s="34"/>
      <c r="G535" s="34"/>
      <c r="H535" s="34"/>
      <c r="I535" s="34"/>
      <c r="J535" s="34"/>
      <c r="K535" s="34"/>
      <c r="L535" s="34"/>
      <c r="M535" s="34"/>
      <c r="N535" s="34"/>
      <c r="O535" s="34"/>
      <c r="P535" s="34"/>
      <c r="Q535" s="35"/>
      <c r="R535" s="35"/>
    </row>
    <row r="536" spans="2:27" ht="9.9499999999999993" customHeight="1">
      <c r="B536" s="28"/>
      <c r="D536" s="26"/>
      <c r="E536" s="27"/>
      <c r="F536" s="34"/>
      <c r="G536" s="34"/>
      <c r="H536" s="34"/>
      <c r="I536" s="34"/>
      <c r="J536" s="34"/>
      <c r="K536" s="34"/>
      <c r="L536" s="34"/>
      <c r="M536" s="34"/>
      <c r="N536" s="34"/>
      <c r="O536" s="34"/>
      <c r="P536" s="34"/>
      <c r="Q536" s="35"/>
      <c r="R536" s="35"/>
    </row>
    <row r="537" spans="2:27" ht="9.9499999999999993" customHeight="1">
      <c r="F537" s="44"/>
      <c r="G537" s="44"/>
      <c r="H537" s="44"/>
      <c r="I537" s="44"/>
      <c r="J537" s="44"/>
      <c r="K537" s="35"/>
      <c r="L537" s="35"/>
      <c r="M537" s="35"/>
      <c r="N537" s="35"/>
      <c r="O537" s="35"/>
      <c r="P537" s="35"/>
      <c r="Q537" s="35"/>
      <c r="R537" s="35"/>
    </row>
    <row r="538" spans="2:27" ht="9.9499999999999993" customHeight="1">
      <c r="F538" s="35"/>
      <c r="G538" s="35"/>
      <c r="H538" s="35"/>
      <c r="I538" s="35"/>
      <c r="J538" s="35"/>
      <c r="K538" s="35"/>
      <c r="L538" s="35"/>
      <c r="M538" s="35"/>
      <c r="N538" s="35"/>
      <c r="O538" s="35"/>
      <c r="P538" s="35"/>
      <c r="Q538" s="35"/>
      <c r="R538" s="35"/>
    </row>
    <row r="539" spans="2:27" ht="9.9499999999999993" customHeight="1">
      <c r="F539" s="35"/>
      <c r="G539" s="35"/>
      <c r="H539" s="35"/>
      <c r="I539" s="35"/>
      <c r="J539" s="35"/>
      <c r="K539" s="35"/>
      <c r="L539" s="35"/>
      <c r="M539" s="35"/>
      <c r="N539" s="35"/>
      <c r="O539" s="35"/>
      <c r="P539" s="35"/>
      <c r="Q539" s="35"/>
      <c r="R539" s="35"/>
    </row>
    <row r="540" spans="2:27" ht="9.9499999999999993" customHeight="1">
      <c r="B540" s="25"/>
      <c r="D540" s="26"/>
      <c r="E540" s="27"/>
      <c r="F540" s="33"/>
      <c r="G540" s="33"/>
      <c r="H540" s="33"/>
      <c r="I540" s="33"/>
      <c r="J540" s="33"/>
      <c r="K540" s="33"/>
      <c r="L540" s="33"/>
      <c r="M540" s="33"/>
      <c r="N540" s="33"/>
      <c r="O540" s="33"/>
      <c r="P540" s="33"/>
      <c r="Q540" s="35"/>
      <c r="R540" s="35"/>
      <c r="AA540" t="s">
        <v>8</v>
      </c>
    </row>
    <row r="541" spans="2:27" ht="9.9499999999999993" customHeight="1">
      <c r="B541" s="25"/>
      <c r="D541" s="26"/>
      <c r="E541" s="27"/>
      <c r="F541" s="34"/>
      <c r="G541" s="34"/>
      <c r="H541" s="34"/>
      <c r="I541" s="34"/>
      <c r="J541" s="34"/>
      <c r="K541" s="34"/>
      <c r="L541" s="34"/>
      <c r="M541" s="34"/>
      <c r="N541" s="34"/>
      <c r="O541" s="34"/>
      <c r="P541" s="34"/>
      <c r="Q541" s="35"/>
      <c r="R541" s="35"/>
    </row>
    <row r="542" spans="2:27" ht="9.9499999999999993" customHeight="1">
      <c r="B542" s="25"/>
      <c r="D542" s="26"/>
      <c r="E542" s="27"/>
      <c r="F542" s="34"/>
      <c r="G542" s="34"/>
      <c r="H542" s="34"/>
      <c r="I542" s="34"/>
      <c r="J542" s="34"/>
      <c r="K542" s="34"/>
      <c r="L542" s="34"/>
      <c r="M542" s="34"/>
      <c r="N542" s="34"/>
      <c r="O542" s="34"/>
      <c r="P542" s="34"/>
      <c r="Q542" s="35"/>
      <c r="R542" s="35"/>
    </row>
    <row r="543" spans="2:27" ht="9.9499999999999993" customHeight="1">
      <c r="B543" s="25"/>
      <c r="D543" s="26"/>
      <c r="E543" s="27"/>
      <c r="F543" s="34"/>
      <c r="G543" s="34"/>
      <c r="H543" s="34"/>
      <c r="I543" s="34"/>
      <c r="J543" s="34"/>
      <c r="K543" s="34"/>
      <c r="L543" s="34"/>
      <c r="M543" s="34"/>
      <c r="N543" s="34"/>
      <c r="O543" s="34"/>
      <c r="P543" s="34"/>
      <c r="Q543" s="35"/>
      <c r="R543" s="35"/>
    </row>
    <row r="544" spans="2:27" ht="9.9499999999999993" customHeight="1">
      <c r="B544" s="25"/>
      <c r="D544" s="26"/>
      <c r="E544" s="27"/>
      <c r="F544" s="34"/>
      <c r="G544" s="34"/>
      <c r="H544" s="34"/>
      <c r="I544" s="34"/>
      <c r="J544" s="34"/>
      <c r="K544" s="34"/>
      <c r="L544" s="34"/>
      <c r="M544" s="34"/>
      <c r="N544" s="34"/>
      <c r="O544" s="34"/>
      <c r="P544" s="34"/>
      <c r="Q544" s="35"/>
      <c r="R544" s="35"/>
    </row>
    <row r="545" spans="2:27" ht="9.9499999999999993" customHeight="1">
      <c r="B545" s="25"/>
      <c r="D545" s="26"/>
      <c r="E545" s="27"/>
      <c r="F545" s="34"/>
      <c r="G545" s="34"/>
      <c r="H545" s="34"/>
      <c r="I545" s="34"/>
      <c r="J545" s="34"/>
      <c r="K545" s="34"/>
      <c r="L545" s="34"/>
      <c r="M545" s="34"/>
      <c r="N545" s="34"/>
      <c r="O545" s="34"/>
      <c r="P545" s="34"/>
      <c r="Q545" s="35"/>
      <c r="R545" s="35"/>
    </row>
    <row r="546" spans="2:27" ht="9.9499999999999993" customHeight="1">
      <c r="B546" s="25"/>
      <c r="D546" s="26"/>
      <c r="E546" s="27"/>
      <c r="F546" s="34"/>
      <c r="G546" s="34"/>
      <c r="H546" s="34"/>
      <c r="I546" s="34"/>
      <c r="J546" s="34"/>
      <c r="K546" s="34"/>
      <c r="L546" s="34"/>
      <c r="M546" s="34"/>
      <c r="N546" s="34"/>
      <c r="O546" s="34"/>
      <c r="P546" s="34"/>
      <c r="Q546" s="35"/>
      <c r="R546" s="35"/>
    </row>
    <row r="547" spans="2:27" ht="9.9499999999999993" customHeight="1">
      <c r="B547" s="28"/>
      <c r="D547" s="26"/>
      <c r="E547" s="27"/>
      <c r="F547" s="34"/>
      <c r="G547" s="34"/>
      <c r="H547" s="34"/>
      <c r="I547" s="34"/>
      <c r="J547" s="34"/>
      <c r="K547" s="34"/>
      <c r="L547" s="34"/>
      <c r="M547" s="34"/>
      <c r="N547" s="34"/>
      <c r="O547" s="34"/>
      <c r="P547" s="34"/>
      <c r="Q547" s="35"/>
      <c r="R547" s="35"/>
    </row>
    <row r="548" spans="2:27" ht="9.9499999999999993" customHeight="1">
      <c r="B548" s="28"/>
      <c r="D548" s="26"/>
      <c r="E548" s="27"/>
      <c r="F548" s="34"/>
      <c r="G548" s="34"/>
      <c r="H548" s="34"/>
      <c r="I548" s="34"/>
      <c r="J548" s="34"/>
      <c r="K548" s="34"/>
      <c r="L548" s="34"/>
      <c r="M548" s="34"/>
      <c r="N548" s="34"/>
      <c r="O548" s="34"/>
      <c r="P548" s="34"/>
      <c r="Q548" s="35"/>
      <c r="R548" s="35"/>
    </row>
    <row r="549" spans="2:27" ht="9.9499999999999993" customHeight="1">
      <c r="F549" s="44"/>
      <c r="G549" s="44"/>
      <c r="H549" s="44"/>
      <c r="I549" s="44"/>
      <c r="J549" s="44"/>
      <c r="K549" s="35"/>
      <c r="L549" s="35"/>
      <c r="M549" s="35"/>
      <c r="N549" s="35"/>
      <c r="O549" s="35"/>
      <c r="P549" s="35"/>
      <c r="Q549" s="35"/>
      <c r="R549" s="35"/>
    </row>
    <row r="550" spans="2:27" ht="9.9499999999999993" customHeight="1">
      <c r="F550" s="35"/>
      <c r="G550" s="35"/>
      <c r="H550" s="35"/>
      <c r="I550" s="35"/>
      <c r="J550" s="35"/>
      <c r="K550" s="35"/>
      <c r="L550" s="35"/>
      <c r="M550" s="35"/>
      <c r="N550" s="35"/>
      <c r="O550" s="35"/>
      <c r="P550" s="35"/>
      <c r="Q550" s="35"/>
      <c r="R550" s="35"/>
    </row>
    <row r="551" spans="2:27" ht="9.9499999999999993" customHeight="1">
      <c r="F551" s="35"/>
      <c r="G551" s="35"/>
      <c r="H551" s="35"/>
      <c r="I551" s="35"/>
      <c r="J551" s="35"/>
      <c r="K551" s="35"/>
      <c r="L551" s="35"/>
      <c r="M551" s="35"/>
      <c r="N551" s="35"/>
      <c r="O551" s="35"/>
      <c r="P551" s="35"/>
      <c r="Q551" s="35"/>
      <c r="R551" s="35"/>
    </row>
    <row r="552" spans="2:27" ht="9.9499999999999993" customHeight="1">
      <c r="B552" s="25"/>
      <c r="D552" s="26"/>
      <c r="E552" s="27"/>
      <c r="F552" s="33"/>
      <c r="G552" s="33"/>
      <c r="H552" s="33"/>
      <c r="I552" s="33"/>
      <c r="J552" s="33"/>
      <c r="K552" s="33"/>
      <c r="L552" s="33"/>
      <c r="M552" s="33"/>
      <c r="N552" s="33"/>
      <c r="O552" s="33"/>
      <c r="P552" s="33"/>
      <c r="Q552" s="35"/>
      <c r="R552" s="35"/>
      <c r="AA552" t="s">
        <v>8</v>
      </c>
    </row>
    <row r="553" spans="2:27" ht="9.9499999999999993" customHeight="1">
      <c r="B553" s="25"/>
      <c r="D553" s="26"/>
      <c r="E553" s="27"/>
      <c r="F553" s="34"/>
      <c r="G553" s="34"/>
      <c r="H553" s="34"/>
      <c r="I553" s="34"/>
      <c r="J553" s="34"/>
      <c r="K553" s="34"/>
      <c r="L553" s="34"/>
      <c r="M553" s="34"/>
      <c r="N553" s="34"/>
      <c r="O553" s="34"/>
      <c r="P553" s="34"/>
      <c r="Q553" s="35"/>
      <c r="R553" s="35"/>
    </row>
    <row r="554" spans="2:27" ht="9.9499999999999993" customHeight="1">
      <c r="B554" s="25"/>
      <c r="D554" s="26"/>
      <c r="E554" s="27"/>
      <c r="F554" s="34"/>
      <c r="G554" s="34"/>
      <c r="H554" s="34"/>
      <c r="I554" s="34"/>
      <c r="J554" s="34"/>
      <c r="K554" s="34"/>
      <c r="L554" s="34"/>
      <c r="M554" s="34"/>
      <c r="N554" s="34"/>
      <c r="O554" s="34"/>
      <c r="P554" s="34"/>
      <c r="Q554" s="35"/>
      <c r="R554" s="35"/>
    </row>
    <row r="555" spans="2:27" ht="9.9499999999999993" customHeight="1">
      <c r="B555" s="25"/>
      <c r="D555" s="26"/>
      <c r="E555" s="27"/>
      <c r="F555" s="34"/>
      <c r="G555" s="34"/>
      <c r="H555" s="34"/>
      <c r="I555" s="34"/>
      <c r="J555" s="34"/>
      <c r="K555" s="34"/>
      <c r="L555" s="34"/>
      <c r="M555" s="34"/>
      <c r="N555" s="34"/>
      <c r="O555" s="34"/>
      <c r="P555" s="34"/>
      <c r="Q555" s="35"/>
      <c r="R555" s="35"/>
    </row>
    <row r="556" spans="2:27" ht="9.9499999999999993" customHeight="1">
      <c r="B556" s="25"/>
      <c r="D556" s="26"/>
      <c r="E556" s="27"/>
      <c r="F556" s="34"/>
      <c r="G556" s="34"/>
      <c r="H556" s="34"/>
      <c r="I556" s="34"/>
      <c r="J556" s="34"/>
      <c r="K556" s="34"/>
      <c r="L556" s="34"/>
      <c r="M556" s="34"/>
      <c r="N556" s="34"/>
      <c r="O556" s="34"/>
      <c r="P556" s="34"/>
      <c r="Q556" s="35"/>
      <c r="R556" s="35"/>
    </row>
    <row r="557" spans="2:27" ht="9.9499999999999993" customHeight="1">
      <c r="B557" s="25"/>
      <c r="D557" s="26"/>
      <c r="E557" s="27"/>
      <c r="F557" s="34"/>
      <c r="G557" s="34"/>
      <c r="H557" s="34"/>
      <c r="I557" s="34"/>
      <c r="J557" s="34"/>
      <c r="K557" s="34"/>
      <c r="L557" s="34"/>
      <c r="M557" s="34"/>
      <c r="N557" s="34"/>
      <c r="O557" s="34"/>
      <c r="P557" s="34"/>
      <c r="Q557" s="35"/>
      <c r="R557" s="35"/>
    </row>
    <row r="558" spans="2:27" ht="9.9499999999999993" customHeight="1">
      <c r="B558" s="25"/>
      <c r="D558" s="26"/>
      <c r="E558" s="27"/>
      <c r="F558" s="34"/>
      <c r="G558" s="34"/>
      <c r="H558" s="34"/>
      <c r="I558" s="34"/>
      <c r="J558" s="34"/>
      <c r="K558" s="34"/>
      <c r="L558" s="34"/>
      <c r="M558" s="34"/>
      <c r="N558" s="34"/>
      <c r="O558" s="34"/>
      <c r="P558" s="34"/>
      <c r="Q558" s="35"/>
      <c r="R558" s="35"/>
    </row>
    <row r="559" spans="2:27" ht="9.9499999999999993" customHeight="1">
      <c r="B559" s="28"/>
      <c r="D559" s="26"/>
      <c r="E559" s="27"/>
      <c r="F559" s="34"/>
      <c r="G559" s="34"/>
      <c r="H559" s="34"/>
      <c r="I559" s="34"/>
      <c r="J559" s="34"/>
      <c r="K559" s="34"/>
      <c r="L559" s="34"/>
      <c r="M559" s="34"/>
      <c r="N559" s="34"/>
      <c r="O559" s="34"/>
      <c r="P559" s="34"/>
      <c r="Q559" s="35"/>
      <c r="R559" s="35"/>
    </row>
    <row r="560" spans="2:27" ht="9.9499999999999993" customHeight="1">
      <c r="B560" s="28"/>
      <c r="D560" s="26"/>
      <c r="E560" s="27"/>
      <c r="F560" s="34"/>
      <c r="G560" s="34"/>
      <c r="H560" s="34"/>
      <c r="I560" s="34"/>
      <c r="J560" s="34"/>
      <c r="K560" s="34"/>
      <c r="L560" s="34"/>
      <c r="M560" s="34"/>
      <c r="N560" s="34"/>
      <c r="O560" s="34"/>
      <c r="P560" s="34"/>
      <c r="Q560" s="35"/>
      <c r="R560" s="35"/>
    </row>
    <row r="561" spans="2:27" ht="9.9499999999999993" customHeight="1">
      <c r="F561" s="44"/>
      <c r="G561" s="44"/>
      <c r="H561" s="44"/>
      <c r="I561" s="44"/>
      <c r="J561" s="44"/>
      <c r="K561" s="35"/>
      <c r="L561" s="35"/>
      <c r="M561" s="35"/>
      <c r="N561" s="35"/>
      <c r="O561" s="35"/>
      <c r="P561" s="35"/>
      <c r="Q561" s="35"/>
      <c r="R561" s="35"/>
    </row>
    <row r="562" spans="2:27" ht="9.9499999999999993" customHeight="1">
      <c r="F562" s="35"/>
      <c r="G562" s="35"/>
      <c r="H562" s="35"/>
      <c r="I562" s="35"/>
      <c r="J562" s="35"/>
      <c r="K562" s="35"/>
      <c r="L562" s="35"/>
      <c r="M562" s="35"/>
      <c r="N562" s="35"/>
      <c r="O562" s="35"/>
      <c r="P562" s="35"/>
      <c r="Q562" s="35"/>
      <c r="R562" s="35"/>
    </row>
    <row r="563" spans="2:27" ht="9.9499999999999993" customHeight="1">
      <c r="F563" s="35"/>
      <c r="G563" s="35"/>
      <c r="H563" s="35"/>
      <c r="I563" s="35"/>
      <c r="J563" s="35"/>
      <c r="K563" s="35"/>
      <c r="L563" s="35"/>
      <c r="M563" s="35"/>
      <c r="N563" s="35"/>
      <c r="O563" s="35"/>
      <c r="P563" s="35"/>
      <c r="Q563" s="35"/>
      <c r="R563" s="35"/>
    </row>
    <row r="564" spans="2:27" ht="9.9499999999999993" customHeight="1">
      <c r="B564" s="25"/>
      <c r="D564" s="26"/>
      <c r="E564" s="27"/>
      <c r="F564" s="33"/>
      <c r="G564" s="33"/>
      <c r="H564" s="33"/>
      <c r="I564" s="33"/>
      <c r="J564" s="33"/>
      <c r="K564" s="33"/>
      <c r="L564" s="33"/>
      <c r="M564" s="33"/>
      <c r="N564" s="33"/>
      <c r="O564" s="33"/>
      <c r="P564" s="33"/>
      <c r="Q564" s="35"/>
      <c r="R564" s="35"/>
      <c r="AA564" t="s">
        <v>8</v>
      </c>
    </row>
    <row r="565" spans="2:27" ht="9.9499999999999993" customHeight="1">
      <c r="B565" s="25"/>
      <c r="D565" s="26"/>
      <c r="E565" s="27"/>
      <c r="F565" s="34"/>
      <c r="G565" s="34"/>
      <c r="H565" s="34"/>
      <c r="I565" s="34"/>
      <c r="J565" s="34"/>
      <c r="K565" s="34"/>
      <c r="L565" s="34"/>
      <c r="M565" s="34"/>
      <c r="N565" s="34"/>
      <c r="O565" s="34"/>
      <c r="P565" s="34"/>
      <c r="Q565" s="35"/>
      <c r="R565" s="35"/>
    </row>
    <row r="566" spans="2:27" ht="9.9499999999999993" customHeight="1">
      <c r="B566" s="25"/>
      <c r="D566" s="26"/>
      <c r="E566" s="27"/>
      <c r="F566" s="34"/>
      <c r="G566" s="34"/>
      <c r="H566" s="34"/>
      <c r="I566" s="34"/>
      <c r="J566" s="34"/>
      <c r="K566" s="34"/>
      <c r="L566" s="34"/>
      <c r="M566" s="34"/>
      <c r="N566" s="34"/>
      <c r="O566" s="34"/>
      <c r="P566" s="34"/>
      <c r="Q566" s="35"/>
      <c r="R566" s="35"/>
    </row>
    <row r="567" spans="2:27" ht="9.9499999999999993" customHeight="1">
      <c r="B567" s="25"/>
      <c r="D567" s="26"/>
      <c r="E567" s="27"/>
      <c r="F567" s="34"/>
      <c r="G567" s="34"/>
      <c r="H567" s="34"/>
      <c r="I567" s="34"/>
      <c r="J567" s="34"/>
      <c r="K567" s="34"/>
      <c r="L567" s="34"/>
      <c r="M567" s="34"/>
      <c r="N567" s="34"/>
      <c r="O567" s="34"/>
      <c r="P567" s="34"/>
      <c r="Q567" s="35"/>
      <c r="R567" s="35"/>
    </row>
    <row r="568" spans="2:27" ht="9.9499999999999993" customHeight="1">
      <c r="B568" s="25"/>
      <c r="D568" s="26"/>
      <c r="E568" s="27"/>
      <c r="F568" s="34"/>
      <c r="G568" s="34"/>
      <c r="H568" s="34"/>
      <c r="I568" s="34"/>
      <c r="J568" s="34"/>
      <c r="K568" s="34"/>
      <c r="L568" s="34"/>
      <c r="M568" s="34"/>
      <c r="N568" s="34"/>
      <c r="O568" s="34"/>
      <c r="P568" s="34"/>
      <c r="Q568" s="35"/>
      <c r="R568" s="35"/>
    </row>
    <row r="569" spans="2:27" ht="9.9499999999999993" customHeight="1">
      <c r="B569" s="25"/>
      <c r="D569" s="26"/>
      <c r="E569" s="27"/>
      <c r="F569" s="34"/>
      <c r="G569" s="34"/>
      <c r="H569" s="34"/>
      <c r="I569" s="34"/>
      <c r="J569" s="34"/>
      <c r="K569" s="34"/>
      <c r="L569" s="34"/>
      <c r="M569" s="34"/>
      <c r="N569" s="34"/>
      <c r="O569" s="34"/>
      <c r="P569" s="34"/>
      <c r="Q569" s="35"/>
      <c r="R569" s="35"/>
    </row>
    <row r="570" spans="2:27" ht="9.9499999999999993" customHeight="1">
      <c r="B570" s="25"/>
      <c r="D570" s="26"/>
      <c r="E570" s="27"/>
      <c r="F570" s="34"/>
      <c r="G570" s="34"/>
      <c r="H570" s="34"/>
      <c r="I570" s="34"/>
      <c r="J570" s="34"/>
      <c r="K570" s="34"/>
      <c r="L570" s="34"/>
      <c r="M570" s="34"/>
      <c r="N570" s="34"/>
      <c r="O570" s="34"/>
      <c r="P570" s="34"/>
      <c r="Q570" s="35"/>
      <c r="R570" s="35"/>
    </row>
    <row r="571" spans="2:27" ht="9.9499999999999993" customHeight="1">
      <c r="B571" s="28"/>
      <c r="D571" s="26"/>
      <c r="E571" s="27"/>
      <c r="F571" s="34"/>
      <c r="G571" s="34"/>
      <c r="H571" s="34"/>
      <c r="I571" s="34"/>
      <c r="J571" s="34"/>
      <c r="K571" s="34"/>
      <c r="L571" s="34"/>
      <c r="M571" s="34"/>
      <c r="N571" s="34"/>
      <c r="O571" s="34"/>
      <c r="P571" s="34"/>
      <c r="Q571" s="35"/>
      <c r="R571" s="35"/>
    </row>
    <row r="572" spans="2:27" ht="9.9499999999999993" customHeight="1">
      <c r="B572" s="28"/>
      <c r="D572" s="26"/>
      <c r="E572" s="27"/>
      <c r="F572" s="34"/>
      <c r="G572" s="34"/>
      <c r="H572" s="34"/>
      <c r="I572" s="34"/>
      <c r="J572" s="34"/>
      <c r="K572" s="34"/>
      <c r="L572" s="34"/>
      <c r="M572" s="34"/>
      <c r="N572" s="34"/>
      <c r="O572" s="34"/>
      <c r="P572" s="34"/>
      <c r="Q572" s="35"/>
      <c r="R572" s="35"/>
    </row>
    <row r="573" spans="2:27" ht="9.9499999999999993" customHeight="1">
      <c r="F573" s="35"/>
      <c r="G573" s="35"/>
      <c r="H573" s="35"/>
      <c r="I573" s="35"/>
      <c r="J573" s="35"/>
      <c r="K573" s="35"/>
      <c r="L573" s="35"/>
      <c r="M573" s="35"/>
      <c r="N573" s="35"/>
      <c r="O573" s="35"/>
      <c r="P573" s="35"/>
      <c r="Q573" s="35"/>
      <c r="R573" s="35"/>
      <c r="AA573" t="s">
        <v>9</v>
      </c>
    </row>
    <row r="574" spans="2:27" ht="9.9499999999999993" customHeight="1">
      <c r="F574" s="35"/>
      <c r="G574" s="35"/>
      <c r="H574" s="35"/>
      <c r="I574" s="35"/>
      <c r="J574" s="35"/>
      <c r="K574" s="35"/>
      <c r="L574" s="35"/>
      <c r="M574" s="35"/>
      <c r="N574" s="35"/>
      <c r="O574" s="35"/>
      <c r="P574" s="35"/>
      <c r="Q574" s="35"/>
      <c r="R574" s="35"/>
    </row>
    <row r="575" spans="2:27" ht="9.9499999999999993" customHeight="1">
      <c r="F575" s="35"/>
      <c r="G575" s="35"/>
      <c r="H575" s="35"/>
      <c r="I575" s="35"/>
      <c r="J575" s="35"/>
      <c r="K575" s="35"/>
      <c r="L575" s="35"/>
      <c r="M575" s="35"/>
      <c r="N575" s="35"/>
      <c r="O575" s="35"/>
      <c r="P575" s="35"/>
      <c r="Q575" s="35"/>
      <c r="R575" s="35"/>
    </row>
    <row r="576" spans="2:27" ht="9.9499999999999993" customHeight="1">
      <c r="F576" s="35"/>
      <c r="G576" s="35"/>
      <c r="H576" s="35"/>
      <c r="I576" s="35"/>
      <c r="J576" s="35"/>
      <c r="K576" s="35"/>
      <c r="L576" s="35"/>
      <c r="M576" s="35"/>
      <c r="N576" s="35"/>
      <c r="O576" s="35"/>
      <c r="P576" s="35"/>
      <c r="Q576" s="35"/>
      <c r="R576" s="35"/>
    </row>
    <row r="577" spans="6:18" ht="9.9499999999999993" customHeight="1">
      <c r="F577" s="35"/>
      <c r="G577" s="35"/>
      <c r="H577" s="35"/>
      <c r="I577" s="35"/>
      <c r="J577" s="35"/>
      <c r="K577" s="35"/>
      <c r="L577" s="35"/>
      <c r="M577" s="35"/>
      <c r="N577" s="35"/>
      <c r="O577" s="35"/>
      <c r="P577" s="35"/>
      <c r="Q577" s="35"/>
      <c r="R577" s="35"/>
    </row>
    <row r="578" spans="6:18" ht="9.9499999999999993" customHeight="1">
      <c r="F578" s="35"/>
      <c r="G578" s="35"/>
      <c r="H578" s="35"/>
      <c r="I578" s="35"/>
      <c r="J578" s="35"/>
      <c r="K578" s="35"/>
      <c r="L578" s="35"/>
      <c r="M578" s="35"/>
      <c r="N578" s="35"/>
      <c r="O578" s="35"/>
      <c r="P578" s="35"/>
      <c r="Q578" s="35"/>
      <c r="R578" s="35"/>
    </row>
    <row r="579" spans="6:18" ht="9.9499999999999993" customHeight="1">
      <c r="F579" s="35"/>
      <c r="G579" s="35"/>
      <c r="H579" s="35"/>
      <c r="I579" s="35"/>
      <c r="J579" s="35"/>
      <c r="K579" s="35"/>
      <c r="L579" s="35"/>
      <c r="M579" s="35"/>
      <c r="N579" s="35"/>
      <c r="O579" s="35"/>
      <c r="P579" s="35"/>
      <c r="Q579" s="35"/>
      <c r="R579" s="35"/>
    </row>
    <row r="580" spans="6:18" ht="9.9499999999999993" customHeight="1">
      <c r="F580" s="35"/>
      <c r="G580" s="35"/>
      <c r="H580" s="35"/>
      <c r="I580" s="35"/>
      <c r="J580" s="35"/>
      <c r="K580" s="35"/>
      <c r="L580" s="35"/>
      <c r="M580" s="35"/>
      <c r="N580" s="35"/>
      <c r="O580" s="35"/>
      <c r="P580" s="35"/>
      <c r="Q580" s="35"/>
      <c r="R580" s="35"/>
    </row>
    <row r="581" spans="6:18" ht="9.9499999999999993" customHeight="1">
      <c r="F581" s="35"/>
      <c r="G581" s="35"/>
      <c r="H581" s="35"/>
      <c r="I581" s="35"/>
      <c r="J581" s="35"/>
      <c r="K581" s="35"/>
      <c r="L581" s="35"/>
      <c r="M581" s="35"/>
      <c r="N581" s="35"/>
      <c r="O581" s="35"/>
      <c r="P581" s="35"/>
      <c r="Q581" s="35"/>
      <c r="R581" s="35"/>
    </row>
    <row r="582" spans="6:18" ht="9.9499999999999993" customHeight="1">
      <c r="F582" s="35"/>
      <c r="G582" s="35"/>
      <c r="H582" s="35"/>
      <c r="I582" s="35"/>
      <c r="J582" s="35"/>
      <c r="K582" s="35"/>
      <c r="L582" s="35"/>
      <c r="M582" s="35"/>
      <c r="N582" s="35"/>
      <c r="O582" s="35"/>
      <c r="P582" s="35"/>
      <c r="Q582" s="35"/>
      <c r="R582" s="35"/>
    </row>
    <row r="583" spans="6:18" ht="9.9499999999999993" customHeight="1">
      <c r="F583" s="35"/>
      <c r="G583" s="35"/>
      <c r="H583" s="35"/>
      <c r="I583" s="35"/>
      <c r="J583" s="35"/>
      <c r="K583" s="35"/>
      <c r="L583" s="35"/>
      <c r="M583" s="35"/>
      <c r="N583" s="35"/>
      <c r="O583" s="35"/>
      <c r="P583" s="35"/>
      <c r="Q583" s="35"/>
      <c r="R583" s="35"/>
    </row>
    <row r="584" spans="6:18" ht="9.9499999999999993" customHeight="1">
      <c r="F584" s="35"/>
      <c r="G584" s="35"/>
      <c r="H584" s="35"/>
      <c r="I584" s="35"/>
      <c r="J584" s="35"/>
      <c r="K584" s="35"/>
      <c r="L584" s="35"/>
      <c r="M584" s="35"/>
      <c r="N584" s="35"/>
      <c r="O584" s="35"/>
      <c r="P584" s="35"/>
      <c r="Q584" s="35"/>
      <c r="R584" s="35"/>
    </row>
    <row r="585" spans="6:18" ht="9.9499999999999993" customHeight="1">
      <c r="F585" s="35"/>
      <c r="G585" s="35"/>
      <c r="H585" s="35"/>
      <c r="I585" s="35"/>
      <c r="J585" s="35"/>
      <c r="K585" s="35"/>
      <c r="L585" s="35"/>
      <c r="M585" s="35"/>
      <c r="N585" s="35"/>
      <c r="O585" s="35"/>
      <c r="P585" s="35"/>
      <c r="Q585" s="35"/>
      <c r="R585" s="35"/>
    </row>
    <row r="586" spans="6:18" ht="9.9499999999999993" customHeight="1">
      <c r="F586" s="35"/>
      <c r="G586" s="35"/>
      <c r="H586" s="35"/>
      <c r="I586" s="35"/>
      <c r="J586" s="35"/>
      <c r="K586" s="35"/>
      <c r="L586" s="35"/>
      <c r="M586" s="35"/>
      <c r="N586" s="35"/>
      <c r="O586" s="35"/>
      <c r="P586" s="35"/>
      <c r="Q586" s="35"/>
      <c r="R586" s="35"/>
    </row>
    <row r="587" spans="6:18" ht="9.9499999999999993" customHeight="1">
      <c r="F587" s="35"/>
      <c r="G587" s="35"/>
      <c r="H587" s="35"/>
      <c r="I587" s="35"/>
      <c r="J587" s="35"/>
      <c r="K587" s="35"/>
      <c r="L587" s="35"/>
      <c r="M587" s="35"/>
      <c r="N587" s="35"/>
      <c r="O587" s="35"/>
      <c r="P587" s="35"/>
      <c r="Q587" s="35"/>
      <c r="R587" s="35"/>
    </row>
    <row r="588" spans="6:18" ht="9.9499999999999993" customHeight="1">
      <c r="F588" s="35"/>
      <c r="G588" s="35"/>
      <c r="H588" s="35"/>
      <c r="I588" s="35"/>
      <c r="J588" s="35"/>
      <c r="K588" s="35"/>
      <c r="L588" s="35"/>
      <c r="M588" s="35"/>
      <c r="N588" s="35"/>
      <c r="O588" s="35"/>
      <c r="P588" s="35"/>
      <c r="Q588" s="35"/>
      <c r="R588" s="35"/>
    </row>
    <row r="589" spans="6:18" ht="9.9499999999999993" customHeight="1">
      <c r="F589" s="35"/>
      <c r="G589" s="35"/>
      <c r="H589" s="35"/>
      <c r="I589" s="35"/>
      <c r="J589" s="35"/>
      <c r="K589" s="35"/>
      <c r="L589" s="35"/>
      <c r="M589" s="35"/>
      <c r="N589" s="35"/>
      <c r="O589" s="35"/>
      <c r="P589" s="35"/>
      <c r="Q589" s="35"/>
      <c r="R589" s="35"/>
    </row>
    <row r="590" spans="6:18" ht="9.9499999999999993" customHeight="1">
      <c r="F590" s="35"/>
      <c r="G590" s="35"/>
      <c r="H590" s="35"/>
      <c r="I590" s="35"/>
      <c r="J590" s="35"/>
      <c r="K590" s="35"/>
      <c r="L590" s="35"/>
      <c r="M590" s="35"/>
      <c r="N590" s="35"/>
      <c r="O590" s="35"/>
      <c r="P590" s="35"/>
      <c r="Q590" s="35"/>
      <c r="R590" s="35"/>
    </row>
    <row r="591" spans="6:18" ht="9.9499999999999993" customHeight="1">
      <c r="F591" s="35"/>
      <c r="G591" s="35"/>
      <c r="H591" s="35"/>
      <c r="I591" s="35"/>
      <c r="J591" s="35"/>
      <c r="K591" s="35"/>
      <c r="L591" s="35"/>
      <c r="M591" s="35"/>
      <c r="N591" s="35"/>
      <c r="O591" s="35"/>
      <c r="P591" s="35"/>
      <c r="Q591" s="35"/>
      <c r="R591" s="35"/>
    </row>
    <row r="592" spans="6:18" ht="9.9499999999999993" customHeight="1">
      <c r="F592" s="35"/>
      <c r="G592" s="35"/>
      <c r="H592" s="35"/>
      <c r="I592" s="35"/>
      <c r="J592" s="35"/>
      <c r="K592" s="35"/>
      <c r="L592" s="35"/>
      <c r="M592" s="35"/>
      <c r="N592" s="35"/>
      <c r="O592" s="35"/>
      <c r="P592" s="35"/>
      <c r="Q592" s="35"/>
      <c r="R592" s="35"/>
    </row>
    <row r="593" spans="2:18" ht="9.9499999999999993" customHeight="1">
      <c r="F593" s="35"/>
      <c r="G593" s="35"/>
      <c r="H593" s="35"/>
      <c r="I593" s="35"/>
      <c r="J593" s="35"/>
      <c r="K593" s="35"/>
      <c r="L593" s="35"/>
      <c r="M593" s="35"/>
      <c r="N593" s="35"/>
      <c r="O593" s="35"/>
      <c r="P593" s="35"/>
      <c r="Q593" s="35"/>
      <c r="R593" s="35"/>
    </row>
    <row r="594" spans="2:18" ht="9.9499999999999993" customHeight="1">
      <c r="F594" s="35"/>
      <c r="G594" s="35"/>
      <c r="H594" s="35"/>
      <c r="I594" s="35"/>
      <c r="J594" s="35"/>
      <c r="K594" s="35"/>
      <c r="L594" s="35"/>
      <c r="M594" s="35"/>
      <c r="N594" s="35"/>
      <c r="O594" s="35"/>
      <c r="P594" s="35"/>
      <c r="Q594" s="35"/>
      <c r="R594" s="35"/>
    </row>
    <row r="595" spans="2:18" ht="9.9499999999999993" customHeight="1">
      <c r="F595" s="35"/>
      <c r="G595" s="35"/>
      <c r="H595" s="35"/>
      <c r="I595" s="35"/>
      <c r="J595" s="35"/>
      <c r="K595" s="35"/>
      <c r="L595" s="35"/>
      <c r="M595" s="35"/>
      <c r="N595" s="35"/>
      <c r="O595" s="35"/>
      <c r="P595" s="35"/>
      <c r="Q595" s="35"/>
      <c r="R595" s="35"/>
    </row>
    <row r="596" spans="2:18" ht="9.9499999999999993" customHeight="1">
      <c r="F596" s="35"/>
      <c r="G596" s="35"/>
      <c r="H596" s="35"/>
      <c r="I596" s="35"/>
      <c r="J596" s="35"/>
      <c r="K596" s="35"/>
      <c r="L596" s="35"/>
      <c r="M596" s="35"/>
      <c r="N596" s="35"/>
      <c r="O596" s="35"/>
      <c r="P596" s="35"/>
      <c r="Q596" s="35"/>
      <c r="R596" s="35"/>
    </row>
    <row r="597" spans="2:18" ht="9.9499999999999993" customHeight="1">
      <c r="F597" s="35"/>
      <c r="G597" s="35"/>
      <c r="H597" s="35"/>
      <c r="I597" s="35"/>
      <c r="J597" s="35"/>
      <c r="K597" s="35"/>
      <c r="L597" s="35"/>
      <c r="M597" s="35"/>
      <c r="N597" s="35"/>
      <c r="O597" s="35"/>
      <c r="P597" s="35"/>
      <c r="Q597" s="35"/>
      <c r="R597" s="35"/>
    </row>
    <row r="598" spans="2:18" ht="9.9499999999999993" customHeight="1">
      <c r="F598" s="35"/>
      <c r="G598" s="35"/>
      <c r="H598" s="35"/>
      <c r="I598" s="35"/>
      <c r="J598" s="35"/>
      <c r="K598" s="35"/>
      <c r="L598" s="35"/>
      <c r="M598" s="35"/>
      <c r="N598" s="35"/>
      <c r="O598" s="35"/>
      <c r="P598" s="35"/>
      <c r="Q598" s="35"/>
      <c r="R598" s="35"/>
    </row>
    <row r="599" spans="2:18" ht="9.9499999999999993" customHeight="1">
      <c r="F599" s="35"/>
      <c r="G599" s="35"/>
      <c r="H599" s="35"/>
      <c r="I599" s="35"/>
      <c r="J599" s="35"/>
      <c r="K599" s="35"/>
      <c r="L599" s="35"/>
      <c r="M599" s="35"/>
      <c r="N599" s="35"/>
      <c r="O599" s="35"/>
      <c r="P599" s="35"/>
      <c r="Q599" s="35"/>
      <c r="R599" s="35"/>
    </row>
    <row r="600" spans="2:18" ht="9.9499999999999993" customHeight="1">
      <c r="F600" s="35"/>
      <c r="G600" s="35"/>
      <c r="H600" s="35"/>
      <c r="I600" s="35"/>
      <c r="J600" s="35"/>
      <c r="K600" s="35"/>
      <c r="L600" s="35"/>
      <c r="M600" s="35"/>
      <c r="N600" s="35"/>
      <c r="O600" s="35"/>
      <c r="P600" s="35"/>
      <c r="Q600" s="35"/>
      <c r="R600" s="35"/>
    </row>
    <row r="601" spans="2:18" ht="9.9499999999999993" customHeight="1">
      <c r="F601" s="35"/>
      <c r="G601" s="35"/>
      <c r="H601" s="35"/>
      <c r="I601" s="35"/>
      <c r="J601" s="35"/>
      <c r="K601" s="35"/>
      <c r="L601" s="35"/>
      <c r="M601" s="35"/>
      <c r="N601" s="35"/>
      <c r="O601" s="35"/>
      <c r="P601" s="35"/>
      <c r="Q601" s="35"/>
      <c r="R601" s="35"/>
    </row>
    <row r="602" spans="2:18" ht="9.9499999999999993" customHeight="1">
      <c r="F602" s="35"/>
      <c r="G602" s="35"/>
      <c r="H602" s="35"/>
      <c r="I602" s="35"/>
      <c r="J602" s="35"/>
      <c r="K602" s="35"/>
      <c r="L602" s="35"/>
      <c r="M602" s="35"/>
      <c r="N602" s="35"/>
      <c r="O602" s="35"/>
      <c r="P602" s="35"/>
      <c r="Q602" s="35"/>
      <c r="R602" s="35"/>
    </row>
    <row r="603" spans="2:18" ht="9.9499999999999993" customHeight="1">
      <c r="F603" s="35"/>
      <c r="G603" s="35"/>
      <c r="H603" s="35"/>
      <c r="I603" s="35"/>
      <c r="J603" s="35"/>
      <c r="K603" s="35"/>
      <c r="L603" s="35"/>
      <c r="M603" s="35"/>
      <c r="N603" s="35"/>
      <c r="O603" s="35"/>
      <c r="P603" s="35"/>
      <c r="Q603" s="35"/>
      <c r="R603" s="35"/>
    </row>
    <row r="604" spans="2:18" ht="9.9499999999999993" customHeight="1">
      <c r="B604" s="25"/>
      <c r="D604" s="26"/>
      <c r="E604" s="27"/>
      <c r="F604" s="33"/>
      <c r="G604" s="33"/>
      <c r="H604" s="33"/>
      <c r="I604" s="33"/>
      <c r="J604" s="33"/>
      <c r="K604" s="33"/>
      <c r="L604" s="33"/>
      <c r="M604" s="33"/>
      <c r="N604" s="33"/>
      <c r="O604" s="33"/>
      <c r="P604" s="33"/>
      <c r="Q604" s="35"/>
      <c r="R604" s="35"/>
    </row>
    <row r="605" spans="2:18" ht="9.9499999999999993" customHeight="1">
      <c r="B605" s="25"/>
      <c r="D605" s="26"/>
      <c r="E605" s="27"/>
      <c r="F605" s="34"/>
      <c r="G605" s="34"/>
      <c r="H605" s="34"/>
      <c r="I605" s="34"/>
      <c r="J605" s="34"/>
      <c r="K605" s="34"/>
      <c r="L605" s="34"/>
      <c r="M605" s="34"/>
      <c r="N605" s="34"/>
      <c r="O605" s="34"/>
      <c r="P605" s="34"/>
      <c r="Q605" s="35"/>
      <c r="R605" s="35"/>
    </row>
    <row r="606" spans="2:18" ht="9.9499999999999993" customHeight="1">
      <c r="B606" s="25"/>
      <c r="D606" s="26"/>
      <c r="E606" s="27"/>
      <c r="F606" s="34"/>
      <c r="G606" s="34"/>
      <c r="H606" s="34"/>
      <c r="I606" s="34"/>
      <c r="J606" s="34"/>
      <c r="K606" s="34"/>
      <c r="L606" s="34"/>
      <c r="M606" s="34"/>
      <c r="N606" s="34"/>
      <c r="O606" s="34"/>
      <c r="P606" s="34"/>
      <c r="Q606" s="35"/>
      <c r="R606" s="35"/>
    </row>
    <row r="607" spans="2:18" ht="9.9499999999999993" customHeight="1">
      <c r="B607" s="25"/>
      <c r="D607" s="26"/>
      <c r="E607" s="27"/>
      <c r="F607" s="34"/>
      <c r="G607" s="34"/>
      <c r="H607" s="34"/>
      <c r="I607" s="34"/>
      <c r="J607" s="34"/>
      <c r="K607" s="34"/>
      <c r="L607" s="34"/>
      <c r="M607" s="34"/>
      <c r="N607" s="34"/>
      <c r="O607" s="34"/>
      <c r="P607" s="34"/>
      <c r="Q607" s="35"/>
      <c r="R607" s="35"/>
    </row>
    <row r="608" spans="2:18" ht="9.9499999999999993" customHeight="1">
      <c r="B608" s="25"/>
      <c r="D608" s="26"/>
      <c r="E608" s="27"/>
      <c r="F608" s="34"/>
      <c r="G608" s="34"/>
      <c r="H608" s="34"/>
      <c r="I608" s="34"/>
      <c r="J608" s="34"/>
      <c r="K608" s="34"/>
      <c r="L608" s="34"/>
      <c r="M608" s="34"/>
      <c r="N608" s="34"/>
      <c r="O608" s="34"/>
      <c r="P608" s="34"/>
      <c r="Q608" s="35"/>
      <c r="R608" s="35"/>
    </row>
    <row r="609" spans="2:18" ht="9.9499999999999993" customHeight="1">
      <c r="B609" s="25"/>
      <c r="D609" s="26"/>
      <c r="E609" s="27"/>
      <c r="F609" s="34"/>
      <c r="G609" s="34"/>
      <c r="H609" s="34"/>
      <c r="I609" s="34"/>
      <c r="J609" s="34"/>
      <c r="K609" s="34"/>
      <c r="L609" s="34"/>
      <c r="M609" s="34"/>
      <c r="N609" s="34"/>
      <c r="O609" s="34"/>
      <c r="P609" s="34"/>
      <c r="Q609" s="35"/>
      <c r="R609" s="35"/>
    </row>
    <row r="610" spans="2:18" ht="9.9499999999999993" customHeight="1">
      <c r="B610" s="25"/>
      <c r="D610" s="26"/>
      <c r="E610" s="27"/>
      <c r="F610" s="34"/>
      <c r="G610" s="34"/>
      <c r="H610" s="34"/>
      <c r="I610" s="34"/>
      <c r="J610" s="34"/>
      <c r="K610" s="34"/>
      <c r="L610" s="34"/>
      <c r="M610" s="34"/>
      <c r="N610" s="34"/>
      <c r="O610" s="34"/>
      <c r="P610" s="34"/>
      <c r="Q610" s="35"/>
      <c r="R610" s="35"/>
    </row>
    <row r="611" spans="2:18" ht="9.9499999999999993" customHeight="1">
      <c r="B611" s="28"/>
      <c r="D611" s="26"/>
      <c r="E611" s="27"/>
      <c r="F611" s="34"/>
      <c r="G611" s="34"/>
      <c r="H611" s="34"/>
      <c r="I611" s="34"/>
      <c r="J611" s="34"/>
      <c r="K611" s="34"/>
      <c r="L611" s="34"/>
      <c r="M611" s="34"/>
      <c r="N611" s="34"/>
      <c r="O611" s="34"/>
      <c r="P611" s="34"/>
      <c r="Q611" s="35"/>
      <c r="R611" s="35"/>
    </row>
    <row r="612" spans="2:18" ht="9.9499999999999993" customHeight="1">
      <c r="B612" s="28"/>
      <c r="D612" s="26"/>
      <c r="E612" s="27"/>
      <c r="F612" s="34"/>
      <c r="G612" s="34"/>
      <c r="H612" s="34"/>
      <c r="I612" s="34"/>
      <c r="J612" s="34"/>
      <c r="K612" s="34"/>
      <c r="L612" s="34"/>
      <c r="M612" s="34"/>
      <c r="N612" s="34"/>
      <c r="O612" s="34"/>
      <c r="P612" s="34"/>
      <c r="Q612" s="35"/>
      <c r="R612" s="35"/>
    </row>
    <row r="613" spans="2:18" ht="9.9499999999999993" customHeight="1">
      <c r="F613" s="35"/>
      <c r="G613" s="35"/>
      <c r="H613" s="35"/>
      <c r="I613" s="35"/>
      <c r="J613" s="35"/>
      <c r="K613" s="35"/>
      <c r="L613" s="35"/>
      <c r="M613" s="35"/>
      <c r="N613" s="35"/>
      <c r="O613" s="35"/>
      <c r="P613" s="35"/>
      <c r="Q613" s="35"/>
      <c r="R613" s="35"/>
    </row>
    <row r="614" spans="2:18" ht="9.9499999999999993" customHeight="1">
      <c r="F614" s="35"/>
      <c r="G614" s="35"/>
      <c r="H614" s="35"/>
      <c r="I614" s="35"/>
      <c r="J614" s="35"/>
      <c r="K614" s="35"/>
      <c r="L614" s="35"/>
      <c r="M614" s="35"/>
      <c r="N614" s="35"/>
      <c r="O614" s="35"/>
      <c r="P614" s="35"/>
      <c r="Q614" s="35"/>
      <c r="R614" s="35"/>
    </row>
    <row r="615" spans="2:18" ht="9.9499999999999993" customHeight="1">
      <c r="F615" s="35"/>
      <c r="G615" s="35"/>
      <c r="H615" s="35"/>
      <c r="I615" s="35"/>
      <c r="J615" s="35"/>
      <c r="K615" s="35"/>
      <c r="L615" s="35"/>
      <c r="M615" s="35"/>
      <c r="N615" s="35"/>
      <c r="O615" s="35"/>
      <c r="P615" s="35"/>
      <c r="Q615" s="35"/>
      <c r="R615" s="35"/>
    </row>
    <row r="616" spans="2:18" ht="9.9499999999999993" customHeight="1">
      <c r="B616" s="25"/>
      <c r="D616" s="26"/>
      <c r="E616" s="27"/>
      <c r="F616" s="33"/>
      <c r="G616" s="33"/>
      <c r="H616" s="33"/>
      <c r="I616" s="33"/>
      <c r="J616" s="33"/>
      <c r="K616" s="33"/>
      <c r="L616" s="33"/>
      <c r="M616" s="33"/>
      <c r="N616" s="33"/>
      <c r="O616" s="33"/>
      <c r="P616" s="33"/>
      <c r="Q616" s="35"/>
      <c r="R616" s="35"/>
    </row>
    <row r="617" spans="2:18" ht="9.9499999999999993" customHeight="1">
      <c r="B617" s="25"/>
      <c r="D617" s="26"/>
      <c r="E617" s="27"/>
      <c r="F617" s="34"/>
      <c r="G617" s="34"/>
      <c r="H617" s="34"/>
      <c r="I617" s="34"/>
      <c r="J617" s="34"/>
      <c r="K617" s="34"/>
      <c r="L617" s="34"/>
      <c r="M617" s="34"/>
      <c r="N617" s="34"/>
      <c r="O617" s="34"/>
      <c r="P617" s="34"/>
      <c r="Q617" s="35"/>
      <c r="R617" s="35"/>
    </row>
    <row r="618" spans="2:18" ht="9.9499999999999993" customHeight="1">
      <c r="B618" s="25"/>
      <c r="D618" s="26"/>
      <c r="E618" s="27"/>
      <c r="F618" s="34"/>
      <c r="G618" s="34"/>
      <c r="H618" s="34"/>
      <c r="I618" s="34"/>
      <c r="J618" s="34"/>
      <c r="K618" s="34"/>
      <c r="L618" s="34"/>
      <c r="M618" s="34"/>
      <c r="N618" s="34"/>
      <c r="O618" s="34"/>
      <c r="P618" s="34"/>
      <c r="Q618" s="35"/>
      <c r="R618" s="35"/>
    </row>
    <row r="619" spans="2:18" ht="9.9499999999999993" customHeight="1">
      <c r="B619" s="25"/>
      <c r="D619" s="26"/>
      <c r="E619" s="27"/>
      <c r="F619" s="34"/>
      <c r="G619" s="34"/>
      <c r="H619" s="34"/>
      <c r="I619" s="34"/>
      <c r="J619" s="34"/>
      <c r="K619" s="34"/>
      <c r="L619" s="34"/>
      <c r="M619" s="34"/>
      <c r="N619" s="34"/>
      <c r="O619" s="34"/>
      <c r="P619" s="34"/>
      <c r="Q619" s="35"/>
      <c r="R619" s="35"/>
    </row>
    <row r="620" spans="2:18" ht="9.9499999999999993" customHeight="1">
      <c r="B620" s="25"/>
      <c r="D620" s="26"/>
      <c r="E620" s="27"/>
      <c r="F620" s="34"/>
      <c r="G620" s="34"/>
      <c r="H620" s="34"/>
      <c r="I620" s="34"/>
      <c r="J620" s="34"/>
      <c r="K620" s="34"/>
      <c r="L620" s="34"/>
      <c r="M620" s="34"/>
      <c r="N620" s="34"/>
      <c r="O620" s="34"/>
      <c r="P620" s="34"/>
      <c r="Q620" s="35"/>
      <c r="R620" s="35"/>
    </row>
    <row r="621" spans="2:18" ht="9.9499999999999993" customHeight="1">
      <c r="B621" s="25"/>
      <c r="D621" s="26"/>
      <c r="E621" s="27"/>
      <c r="F621" s="34"/>
      <c r="G621" s="34"/>
      <c r="H621" s="34"/>
      <c r="I621" s="34"/>
      <c r="J621" s="34"/>
      <c r="K621" s="34"/>
      <c r="L621" s="34"/>
      <c r="M621" s="34"/>
      <c r="N621" s="34"/>
      <c r="O621" s="34"/>
      <c r="P621" s="34"/>
      <c r="Q621" s="35"/>
      <c r="R621" s="35"/>
    </row>
    <row r="622" spans="2:18" ht="9.9499999999999993" customHeight="1">
      <c r="B622" s="25"/>
      <c r="D622" s="26"/>
      <c r="E622" s="27"/>
      <c r="F622" s="34"/>
      <c r="G622" s="34"/>
      <c r="H622" s="34"/>
      <c r="I622" s="34"/>
      <c r="J622" s="34"/>
      <c r="K622" s="34"/>
      <c r="L622" s="34"/>
      <c r="M622" s="34"/>
      <c r="N622" s="34"/>
      <c r="O622" s="34"/>
      <c r="P622" s="34"/>
      <c r="Q622" s="35"/>
      <c r="R622" s="35"/>
    </row>
    <row r="623" spans="2:18" ht="9.9499999999999993" customHeight="1">
      <c r="B623" s="28"/>
      <c r="D623" s="26"/>
      <c r="E623" s="27"/>
      <c r="F623" s="34"/>
      <c r="G623" s="34"/>
      <c r="H623" s="34"/>
      <c r="I623" s="34"/>
      <c r="J623" s="34"/>
      <c r="K623" s="34"/>
      <c r="L623" s="34"/>
      <c r="M623" s="34"/>
      <c r="N623" s="34"/>
      <c r="O623" s="34"/>
      <c r="P623" s="34"/>
      <c r="Q623" s="35"/>
      <c r="R623" s="35"/>
    </row>
    <row r="624" spans="2:18" ht="9.9499999999999993" customHeight="1">
      <c r="B624" s="28"/>
      <c r="D624" s="26"/>
      <c r="E624" s="27"/>
      <c r="F624" s="34"/>
      <c r="G624" s="34"/>
      <c r="H624" s="34"/>
      <c r="I624" s="34"/>
      <c r="J624" s="34"/>
      <c r="K624" s="34"/>
      <c r="L624" s="34"/>
      <c r="M624" s="34"/>
      <c r="N624" s="34"/>
      <c r="O624" s="34"/>
      <c r="P624" s="34"/>
      <c r="Q624" s="35"/>
      <c r="R624" s="35"/>
    </row>
    <row r="625" spans="2:18" ht="9.9499999999999993" customHeight="1">
      <c r="F625" s="35"/>
      <c r="G625" s="35"/>
      <c r="H625" s="35"/>
      <c r="I625" s="35"/>
      <c r="J625" s="35"/>
      <c r="K625" s="35"/>
      <c r="L625" s="35"/>
      <c r="M625" s="35"/>
      <c r="N625" s="35"/>
      <c r="O625" s="35"/>
      <c r="P625" s="35"/>
      <c r="Q625" s="35"/>
      <c r="R625" s="35"/>
    </row>
    <row r="626" spans="2:18" ht="9.9499999999999993" customHeight="1">
      <c r="F626" s="35"/>
      <c r="G626" s="35"/>
      <c r="H626" s="35"/>
      <c r="I626" s="35"/>
      <c r="J626" s="35"/>
      <c r="K626" s="35"/>
      <c r="L626" s="35"/>
      <c r="M626" s="35"/>
      <c r="N626" s="35"/>
      <c r="O626" s="35"/>
      <c r="P626" s="35"/>
      <c r="Q626" s="35"/>
      <c r="R626" s="35"/>
    </row>
    <row r="627" spans="2:18" ht="9.9499999999999993" customHeight="1">
      <c r="F627" s="35"/>
      <c r="G627" s="35"/>
      <c r="H627" s="35"/>
      <c r="I627" s="35"/>
      <c r="J627" s="35"/>
      <c r="K627" s="35"/>
      <c r="L627" s="35"/>
      <c r="M627" s="35"/>
      <c r="N627" s="35"/>
      <c r="O627" s="35"/>
      <c r="P627" s="35"/>
      <c r="Q627" s="35"/>
      <c r="R627" s="35"/>
    </row>
    <row r="628" spans="2:18" ht="9.9499999999999993" customHeight="1">
      <c r="B628" s="25"/>
      <c r="D628" s="26"/>
      <c r="E628" s="27"/>
      <c r="F628" s="33"/>
      <c r="G628" s="33"/>
      <c r="H628" s="33"/>
      <c r="I628" s="33"/>
      <c r="J628" s="33"/>
      <c r="K628" s="33"/>
      <c r="L628" s="33"/>
      <c r="M628" s="33"/>
      <c r="N628" s="33"/>
      <c r="O628" s="33"/>
      <c r="P628" s="33"/>
      <c r="Q628" s="35"/>
      <c r="R628" s="35"/>
    </row>
    <row r="629" spans="2:18" ht="9.9499999999999993" customHeight="1">
      <c r="B629" s="25"/>
      <c r="D629" s="26"/>
      <c r="E629" s="27"/>
      <c r="F629" s="34"/>
      <c r="G629" s="34"/>
      <c r="H629" s="34"/>
      <c r="I629" s="34"/>
      <c r="J629" s="34"/>
      <c r="K629" s="34"/>
      <c r="L629" s="34"/>
      <c r="M629" s="34"/>
      <c r="N629" s="34"/>
      <c r="O629" s="34"/>
      <c r="P629" s="34"/>
      <c r="Q629" s="35"/>
      <c r="R629" s="35"/>
    </row>
    <row r="630" spans="2:18" ht="9.9499999999999993" customHeight="1">
      <c r="B630" s="25"/>
      <c r="D630" s="26"/>
      <c r="E630" s="27"/>
      <c r="F630" s="34"/>
      <c r="G630" s="34"/>
      <c r="H630" s="34"/>
      <c r="I630" s="34"/>
      <c r="J630" s="34"/>
      <c r="K630" s="34"/>
      <c r="L630" s="34"/>
      <c r="M630" s="34"/>
      <c r="N630" s="34"/>
      <c r="O630" s="34"/>
      <c r="P630" s="34"/>
      <c r="Q630" s="35"/>
      <c r="R630" s="35"/>
    </row>
    <row r="631" spans="2:18" ht="9.9499999999999993" customHeight="1">
      <c r="B631" s="25"/>
      <c r="D631" s="26"/>
      <c r="E631" s="27"/>
      <c r="F631" s="34"/>
      <c r="G631" s="34"/>
      <c r="H631" s="34"/>
      <c r="I631" s="34"/>
      <c r="J631" s="34"/>
      <c r="K631" s="34"/>
      <c r="L631" s="34"/>
      <c r="M631" s="34"/>
      <c r="N631" s="34"/>
      <c r="O631" s="34"/>
      <c r="P631" s="34"/>
      <c r="Q631" s="35"/>
      <c r="R631" s="35"/>
    </row>
    <row r="632" spans="2:18" ht="9.9499999999999993" customHeight="1">
      <c r="B632" s="25"/>
      <c r="D632" s="26"/>
      <c r="E632" s="27"/>
      <c r="F632" s="34"/>
      <c r="G632" s="34"/>
      <c r="H632" s="34"/>
      <c r="I632" s="34"/>
      <c r="J632" s="34"/>
      <c r="K632" s="34"/>
      <c r="L632" s="34"/>
      <c r="M632" s="34"/>
      <c r="N632" s="34"/>
      <c r="O632" s="34"/>
      <c r="P632" s="34"/>
      <c r="Q632" s="35"/>
      <c r="R632" s="35"/>
    </row>
    <row r="633" spans="2:18" ht="9.9499999999999993" customHeight="1">
      <c r="B633" s="25"/>
      <c r="D633" s="26"/>
      <c r="E633" s="27"/>
      <c r="F633" s="34"/>
      <c r="G633" s="34"/>
      <c r="H633" s="34"/>
      <c r="I633" s="34"/>
      <c r="J633" s="34"/>
      <c r="K633" s="34"/>
      <c r="L633" s="34"/>
      <c r="M633" s="34"/>
      <c r="N633" s="34"/>
      <c r="O633" s="34"/>
      <c r="P633" s="34"/>
      <c r="Q633" s="35"/>
      <c r="R633" s="35"/>
    </row>
    <row r="634" spans="2:18" ht="9.9499999999999993" customHeight="1">
      <c r="B634" s="25"/>
      <c r="D634" s="26"/>
      <c r="E634" s="27"/>
      <c r="F634" s="34"/>
      <c r="G634" s="34"/>
      <c r="H634" s="34"/>
      <c r="I634" s="34"/>
      <c r="J634" s="34"/>
      <c r="K634" s="34"/>
      <c r="L634" s="34"/>
      <c r="M634" s="34"/>
      <c r="N634" s="34"/>
      <c r="O634" s="34"/>
      <c r="P634" s="34"/>
      <c r="Q634" s="35"/>
      <c r="R634" s="35"/>
    </row>
    <row r="635" spans="2:18" ht="9.9499999999999993" customHeight="1">
      <c r="B635" s="28"/>
      <c r="D635" s="26"/>
      <c r="E635" s="27"/>
      <c r="F635" s="34"/>
      <c r="G635" s="34"/>
      <c r="H635" s="34"/>
      <c r="I635" s="34"/>
      <c r="J635" s="34"/>
      <c r="K635" s="34"/>
      <c r="L635" s="34"/>
      <c r="M635" s="34"/>
      <c r="N635" s="34"/>
      <c r="O635" s="34"/>
      <c r="P635" s="34"/>
      <c r="Q635" s="35"/>
      <c r="R635" s="35"/>
    </row>
    <row r="636" spans="2:18" ht="9.9499999999999993" customHeight="1">
      <c r="B636" s="28"/>
      <c r="D636" s="26"/>
      <c r="E636" s="27"/>
      <c r="F636" s="34"/>
      <c r="G636" s="34"/>
      <c r="H636" s="34"/>
      <c r="I636" s="34"/>
      <c r="J636" s="34"/>
      <c r="K636" s="34"/>
      <c r="L636" s="34"/>
      <c r="M636" s="34"/>
      <c r="N636" s="34"/>
      <c r="O636" s="34"/>
      <c r="P636" s="34"/>
      <c r="Q636" s="35"/>
      <c r="R636" s="35"/>
    </row>
    <row r="637" spans="2:18" ht="9.9499999999999993" customHeight="1">
      <c r="F637" s="35"/>
      <c r="G637" s="35"/>
      <c r="H637" s="35"/>
      <c r="I637" s="35"/>
      <c r="J637" s="35"/>
      <c r="K637" s="35"/>
      <c r="L637" s="35"/>
      <c r="M637" s="35"/>
      <c r="N637" s="35"/>
      <c r="O637" s="35"/>
      <c r="P637" s="35"/>
      <c r="Q637" s="35"/>
      <c r="R637" s="35"/>
    </row>
    <row r="638" spans="2:18" ht="9.9499999999999993" customHeight="1">
      <c r="F638" s="35"/>
      <c r="G638" s="35"/>
      <c r="H638" s="35"/>
      <c r="I638" s="35"/>
      <c r="J638" s="35"/>
      <c r="K638" s="35"/>
      <c r="L638" s="35"/>
      <c r="M638" s="35"/>
      <c r="N638" s="35"/>
      <c r="O638" s="35"/>
      <c r="P638" s="35"/>
      <c r="Q638" s="35"/>
      <c r="R638" s="35"/>
    </row>
    <row r="639" spans="2:18" ht="9.9499999999999993" customHeight="1">
      <c r="F639" s="35"/>
      <c r="G639" s="35"/>
      <c r="H639" s="35"/>
      <c r="I639" s="35"/>
      <c r="J639" s="35"/>
      <c r="K639" s="35"/>
      <c r="L639" s="35"/>
      <c r="M639" s="35"/>
      <c r="N639" s="35"/>
      <c r="O639" s="35"/>
      <c r="P639" s="35"/>
      <c r="Q639" s="35"/>
      <c r="R639" s="35"/>
    </row>
    <row r="640" spans="2:18" ht="9.9499999999999993" customHeight="1">
      <c r="B640" s="25"/>
      <c r="D640" s="26"/>
      <c r="E640" s="27"/>
      <c r="F640" s="33"/>
      <c r="G640" s="33"/>
      <c r="H640" s="33"/>
      <c r="I640" s="33"/>
      <c r="J640" s="33"/>
      <c r="K640" s="33"/>
      <c r="L640" s="33"/>
      <c r="M640" s="33"/>
      <c r="N640" s="33"/>
      <c r="O640" s="33"/>
      <c r="P640" s="33"/>
      <c r="Q640" s="35"/>
      <c r="R640" s="35"/>
    </row>
    <row r="641" spans="2:18" ht="9.9499999999999993" customHeight="1">
      <c r="B641" s="25"/>
      <c r="D641" s="26"/>
      <c r="E641" s="27"/>
      <c r="F641" s="34"/>
      <c r="G641" s="34"/>
      <c r="H641" s="34"/>
      <c r="I641" s="34"/>
      <c r="J641" s="34"/>
      <c r="K641" s="34"/>
      <c r="L641" s="34"/>
      <c r="M641" s="34"/>
      <c r="N641" s="34"/>
      <c r="O641" s="34"/>
      <c r="P641" s="34"/>
      <c r="Q641" s="35"/>
      <c r="R641" s="35"/>
    </row>
    <row r="642" spans="2:18" ht="9.9499999999999993" customHeight="1">
      <c r="B642" s="25"/>
      <c r="D642" s="26"/>
      <c r="E642" s="27"/>
      <c r="F642" s="34"/>
      <c r="G642" s="34"/>
      <c r="H642" s="34"/>
      <c r="I642" s="34"/>
      <c r="J642" s="34"/>
      <c r="K642" s="34"/>
      <c r="L642" s="34"/>
      <c r="M642" s="34"/>
      <c r="N642" s="34"/>
      <c r="O642" s="34"/>
      <c r="P642" s="34"/>
      <c r="Q642" s="35"/>
      <c r="R642" s="35"/>
    </row>
    <row r="643" spans="2:18" ht="9.9499999999999993" customHeight="1">
      <c r="B643" s="25"/>
      <c r="D643" s="26"/>
      <c r="E643" s="27"/>
      <c r="F643" s="34"/>
      <c r="G643" s="34"/>
      <c r="H643" s="34"/>
      <c r="I643" s="34"/>
      <c r="J643" s="34"/>
      <c r="K643" s="34"/>
      <c r="L643" s="34"/>
      <c r="M643" s="34"/>
      <c r="N643" s="34"/>
      <c r="O643" s="34"/>
      <c r="P643" s="34"/>
      <c r="Q643" s="35"/>
      <c r="R643" s="35"/>
    </row>
    <row r="644" spans="2:18" ht="9.9499999999999993" customHeight="1">
      <c r="B644" s="25"/>
      <c r="D644" s="26"/>
      <c r="E644" s="27"/>
      <c r="F644" s="34"/>
      <c r="G644" s="34"/>
      <c r="H644" s="34"/>
      <c r="I644" s="34"/>
      <c r="J644" s="34"/>
      <c r="K644" s="34"/>
      <c r="L644" s="34"/>
      <c r="M644" s="34"/>
      <c r="N644" s="34"/>
      <c r="O644" s="34"/>
      <c r="P644" s="34"/>
      <c r="Q644" s="35"/>
      <c r="R644" s="35"/>
    </row>
    <row r="645" spans="2:18" ht="9.9499999999999993" customHeight="1">
      <c r="B645" s="25"/>
      <c r="D645" s="26"/>
      <c r="E645" s="27"/>
      <c r="F645" s="34"/>
      <c r="G645" s="34"/>
      <c r="H645" s="34"/>
      <c r="I645" s="34"/>
      <c r="J645" s="34"/>
      <c r="K645" s="34"/>
      <c r="L645" s="34"/>
      <c r="M645" s="34"/>
      <c r="N645" s="34"/>
      <c r="O645" s="34"/>
      <c r="P645" s="34"/>
      <c r="Q645" s="35"/>
      <c r="R645" s="35"/>
    </row>
    <row r="646" spans="2:18" ht="9.9499999999999993" customHeight="1">
      <c r="B646" s="25"/>
      <c r="D646" s="26"/>
      <c r="E646" s="27"/>
      <c r="F646" s="34"/>
      <c r="G646" s="34"/>
      <c r="H646" s="34"/>
      <c r="I646" s="34"/>
      <c r="J646" s="34"/>
      <c r="K646" s="34"/>
      <c r="L646" s="34"/>
      <c r="M646" s="34"/>
      <c r="N646" s="34"/>
      <c r="O646" s="34"/>
      <c r="P646" s="34"/>
      <c r="Q646" s="35"/>
      <c r="R646" s="35"/>
    </row>
    <row r="647" spans="2:18" ht="9.9499999999999993" customHeight="1">
      <c r="B647" s="28"/>
      <c r="D647" s="26"/>
      <c r="E647" s="27"/>
      <c r="F647" s="34"/>
      <c r="G647" s="34"/>
      <c r="H647" s="34"/>
      <c r="I647" s="34"/>
      <c r="J647" s="34"/>
      <c r="K647" s="34"/>
      <c r="L647" s="34"/>
      <c r="M647" s="34"/>
      <c r="N647" s="34"/>
      <c r="O647" s="34"/>
      <c r="P647" s="34"/>
      <c r="Q647" s="35"/>
      <c r="R647" s="35"/>
    </row>
    <row r="648" spans="2:18" ht="9.9499999999999993" customHeight="1">
      <c r="B648" s="28"/>
      <c r="D648" s="26"/>
      <c r="E648" s="27"/>
      <c r="F648" s="34"/>
      <c r="G648" s="34"/>
      <c r="H648" s="34"/>
      <c r="I648" s="34"/>
      <c r="J648" s="34"/>
      <c r="K648" s="34"/>
      <c r="L648" s="34"/>
      <c r="M648" s="34"/>
      <c r="N648" s="34"/>
      <c r="O648" s="34"/>
      <c r="P648" s="34"/>
      <c r="Q648" s="35"/>
      <c r="R648" s="35"/>
    </row>
    <row r="649" spans="2:18" ht="9.9499999999999993" customHeight="1">
      <c r="F649" s="35"/>
      <c r="G649" s="35"/>
      <c r="H649" s="35"/>
      <c r="I649" s="35"/>
      <c r="J649" s="35"/>
      <c r="K649" s="35"/>
      <c r="L649" s="35"/>
      <c r="M649" s="35"/>
      <c r="N649" s="35"/>
      <c r="O649" s="35"/>
      <c r="P649" s="35"/>
      <c r="Q649" s="35"/>
      <c r="R649" s="35"/>
    </row>
    <row r="650" spans="2:18" ht="9.9499999999999993" customHeight="1">
      <c r="F650" s="35"/>
      <c r="G650" s="35"/>
      <c r="H650" s="35"/>
      <c r="I650" s="35"/>
      <c r="J650" s="35"/>
      <c r="K650" s="35"/>
      <c r="L650" s="35"/>
      <c r="M650" s="35"/>
      <c r="N650" s="35"/>
      <c r="O650" s="35"/>
      <c r="P650" s="35"/>
      <c r="Q650" s="35"/>
      <c r="R650" s="35"/>
    </row>
    <row r="651" spans="2:18" ht="9.9499999999999993" customHeight="1">
      <c r="F651" s="35"/>
      <c r="G651" s="35"/>
      <c r="H651" s="35"/>
      <c r="I651" s="35"/>
      <c r="J651" s="35"/>
      <c r="K651" s="35"/>
      <c r="L651" s="35"/>
      <c r="M651" s="35"/>
      <c r="N651" s="35"/>
      <c r="O651" s="35"/>
      <c r="P651" s="35"/>
      <c r="Q651" s="35"/>
      <c r="R651" s="35"/>
    </row>
    <row r="652" spans="2:18" ht="9.9499999999999993" customHeight="1">
      <c r="B652" s="25"/>
      <c r="D652" s="26"/>
      <c r="E652" s="27"/>
      <c r="F652" s="33"/>
      <c r="G652" s="33"/>
      <c r="H652" s="33"/>
      <c r="I652" s="33"/>
      <c r="J652" s="33"/>
      <c r="K652" s="33"/>
      <c r="L652" s="33"/>
      <c r="M652" s="33"/>
      <c r="N652" s="33"/>
      <c r="O652" s="33"/>
      <c r="P652" s="33"/>
      <c r="Q652" s="35"/>
      <c r="R652" s="35"/>
    </row>
    <row r="653" spans="2:18" ht="9.9499999999999993" customHeight="1">
      <c r="B653" s="25"/>
      <c r="D653" s="26"/>
      <c r="E653" s="27"/>
      <c r="F653" s="34"/>
      <c r="G653" s="34"/>
      <c r="H653" s="34"/>
      <c r="I653" s="34"/>
      <c r="J653" s="34"/>
      <c r="K653" s="34"/>
      <c r="L653" s="34"/>
      <c r="M653" s="34"/>
      <c r="N653" s="34"/>
      <c r="O653" s="34"/>
      <c r="P653" s="34"/>
      <c r="Q653" s="35"/>
      <c r="R653" s="35"/>
    </row>
    <row r="654" spans="2:18" ht="9.9499999999999993" customHeight="1">
      <c r="B654" s="25"/>
      <c r="D654" s="26"/>
      <c r="E654" s="27"/>
      <c r="F654" s="34"/>
      <c r="G654" s="34"/>
      <c r="H654" s="34"/>
      <c r="I654" s="34"/>
      <c r="J654" s="34"/>
      <c r="K654" s="34"/>
      <c r="L654" s="34"/>
      <c r="M654" s="34"/>
      <c r="N654" s="34"/>
      <c r="O654" s="34"/>
      <c r="P654" s="34"/>
      <c r="Q654" s="35"/>
      <c r="R654" s="35"/>
    </row>
    <row r="655" spans="2:18" ht="9.9499999999999993" customHeight="1">
      <c r="B655" s="25"/>
      <c r="D655" s="26"/>
      <c r="E655" s="27"/>
      <c r="F655" s="34"/>
      <c r="G655" s="34"/>
      <c r="H655" s="34"/>
      <c r="I655" s="34"/>
      <c r="J655" s="34"/>
      <c r="K655" s="34"/>
      <c r="L655" s="34"/>
      <c r="M655" s="34"/>
      <c r="N655" s="34"/>
      <c r="O655" s="34"/>
      <c r="P655" s="34"/>
      <c r="Q655" s="35"/>
      <c r="R655" s="35"/>
    </row>
    <row r="656" spans="2:18" ht="9.9499999999999993" customHeight="1">
      <c r="B656" s="25"/>
      <c r="D656" s="26"/>
      <c r="E656" s="27"/>
      <c r="F656" s="34"/>
      <c r="G656" s="34"/>
      <c r="H656" s="34"/>
      <c r="I656" s="34"/>
      <c r="J656" s="34"/>
      <c r="K656" s="34"/>
      <c r="L656" s="34"/>
      <c r="M656" s="34"/>
      <c r="N656" s="34"/>
      <c r="O656" s="34"/>
      <c r="P656" s="34"/>
      <c r="Q656" s="35"/>
      <c r="R656" s="35"/>
    </row>
    <row r="657" spans="2:18" ht="9.9499999999999993" customHeight="1">
      <c r="B657" s="25"/>
      <c r="D657" s="26"/>
      <c r="E657" s="27"/>
      <c r="F657" s="34"/>
      <c r="G657" s="34"/>
      <c r="H657" s="34"/>
      <c r="I657" s="34"/>
      <c r="J657" s="34"/>
      <c r="K657" s="34"/>
      <c r="L657" s="34"/>
      <c r="M657" s="34"/>
      <c r="N657" s="34"/>
      <c r="O657" s="34"/>
      <c r="P657" s="34"/>
      <c r="Q657" s="35"/>
      <c r="R657" s="35"/>
    </row>
    <row r="658" spans="2:18" ht="9.9499999999999993" customHeight="1">
      <c r="B658" s="25"/>
      <c r="D658" s="26"/>
      <c r="E658" s="27"/>
      <c r="F658" s="34"/>
      <c r="G658" s="34"/>
      <c r="H658" s="34"/>
      <c r="I658" s="34"/>
      <c r="J658" s="34"/>
      <c r="K658" s="34"/>
      <c r="L658" s="34"/>
      <c r="M658" s="34"/>
      <c r="N658" s="34"/>
      <c r="O658" s="34"/>
      <c r="P658" s="34"/>
      <c r="Q658" s="35"/>
      <c r="R658" s="35"/>
    </row>
    <row r="659" spans="2:18" ht="9.9499999999999993" customHeight="1">
      <c r="B659" s="28"/>
      <c r="D659" s="26"/>
      <c r="E659" s="27"/>
      <c r="F659" s="34"/>
      <c r="G659" s="34"/>
      <c r="H659" s="34"/>
      <c r="I659" s="34"/>
      <c r="J659" s="34"/>
      <c r="K659" s="34"/>
      <c r="L659" s="34"/>
      <c r="M659" s="34"/>
      <c r="N659" s="34"/>
      <c r="O659" s="34"/>
      <c r="P659" s="34"/>
      <c r="Q659" s="35"/>
      <c r="R659" s="35"/>
    </row>
    <row r="660" spans="2:18" ht="9.9499999999999993" customHeight="1">
      <c r="B660" s="28"/>
      <c r="D660" s="26"/>
      <c r="E660" s="27"/>
      <c r="F660" s="34"/>
      <c r="G660" s="34"/>
      <c r="H660" s="34"/>
      <c r="I660" s="34"/>
      <c r="J660" s="34"/>
      <c r="K660" s="34"/>
      <c r="L660" s="34"/>
      <c r="M660" s="34"/>
      <c r="N660" s="34"/>
      <c r="O660" s="34"/>
      <c r="P660" s="34"/>
      <c r="Q660" s="35"/>
      <c r="R660" s="35"/>
    </row>
    <row r="661" spans="2:18" ht="9.9499999999999993" customHeight="1">
      <c r="F661" s="35"/>
      <c r="G661" s="35"/>
      <c r="H661" s="35"/>
      <c r="I661" s="35"/>
      <c r="J661" s="35"/>
      <c r="K661" s="35"/>
      <c r="L661" s="35"/>
      <c r="M661" s="35"/>
      <c r="N661" s="35"/>
      <c r="O661" s="35"/>
      <c r="P661" s="35"/>
      <c r="Q661" s="35"/>
      <c r="R661" s="35"/>
    </row>
    <row r="662" spans="2:18" ht="9.9499999999999993" customHeight="1">
      <c r="F662" s="35"/>
      <c r="G662" s="35"/>
      <c r="H662" s="35"/>
      <c r="I662" s="35"/>
      <c r="J662" s="35"/>
      <c r="K662" s="35"/>
      <c r="L662" s="35"/>
      <c r="M662" s="35"/>
      <c r="N662" s="35"/>
      <c r="O662" s="35"/>
      <c r="P662" s="35"/>
      <c r="Q662" s="35"/>
      <c r="R662" s="35"/>
    </row>
    <row r="663" spans="2:18" ht="9.9499999999999993" customHeight="1">
      <c r="F663" s="35"/>
      <c r="G663" s="35"/>
      <c r="H663" s="35"/>
      <c r="I663" s="35"/>
      <c r="J663" s="35"/>
      <c r="K663" s="35"/>
      <c r="L663" s="35"/>
      <c r="M663" s="35"/>
      <c r="N663" s="35"/>
      <c r="O663" s="35"/>
      <c r="P663" s="35"/>
      <c r="Q663" s="35"/>
      <c r="R663" s="35"/>
    </row>
    <row r="664" spans="2:18" ht="9.9499999999999993" customHeight="1">
      <c r="B664" s="25"/>
      <c r="D664" s="26"/>
      <c r="E664" s="27"/>
      <c r="F664" s="33"/>
      <c r="G664" s="33"/>
      <c r="H664" s="33"/>
      <c r="I664" s="33"/>
      <c r="J664" s="33"/>
      <c r="K664" s="33"/>
      <c r="L664" s="33"/>
      <c r="M664" s="33"/>
      <c r="N664" s="33"/>
      <c r="O664" s="33"/>
      <c r="P664" s="33"/>
      <c r="Q664" s="35"/>
      <c r="R664" s="35"/>
    </row>
    <row r="665" spans="2:18" ht="9.9499999999999993" customHeight="1">
      <c r="B665" s="25"/>
      <c r="D665" s="26"/>
      <c r="E665" s="27"/>
      <c r="F665" s="34"/>
      <c r="G665" s="34"/>
      <c r="H665" s="34"/>
      <c r="I665" s="34"/>
      <c r="J665" s="34"/>
      <c r="K665" s="34"/>
      <c r="L665" s="34"/>
      <c r="M665" s="34"/>
      <c r="N665" s="34"/>
      <c r="O665" s="34"/>
      <c r="P665" s="34"/>
      <c r="Q665" s="35"/>
      <c r="R665" s="35"/>
    </row>
    <row r="666" spans="2:18" ht="9.9499999999999993" customHeight="1">
      <c r="B666" s="25"/>
      <c r="D666" s="26"/>
      <c r="E666" s="27"/>
      <c r="F666" s="34"/>
      <c r="G666" s="34"/>
      <c r="H666" s="34"/>
      <c r="I666" s="34"/>
      <c r="J666" s="34"/>
      <c r="K666" s="34"/>
      <c r="L666" s="34"/>
      <c r="M666" s="34"/>
      <c r="N666" s="34"/>
      <c r="O666" s="34"/>
      <c r="P666" s="34"/>
      <c r="Q666" s="35"/>
      <c r="R666" s="35"/>
    </row>
    <row r="667" spans="2:18" ht="9.9499999999999993" customHeight="1">
      <c r="B667" s="25"/>
      <c r="D667" s="26"/>
      <c r="E667" s="27"/>
      <c r="F667" s="34"/>
      <c r="G667" s="34"/>
      <c r="H667" s="34"/>
      <c r="I667" s="34"/>
      <c r="J667" s="34"/>
      <c r="K667" s="34"/>
      <c r="L667" s="34"/>
      <c r="M667" s="34"/>
      <c r="N667" s="34"/>
      <c r="O667" s="34"/>
      <c r="P667" s="34"/>
      <c r="Q667" s="35"/>
      <c r="R667" s="35"/>
    </row>
    <row r="668" spans="2:18" ht="9.9499999999999993" customHeight="1">
      <c r="B668" s="25"/>
      <c r="D668" s="26"/>
      <c r="E668" s="27"/>
      <c r="F668" s="34"/>
      <c r="G668" s="34"/>
      <c r="H668" s="34"/>
      <c r="I668" s="34"/>
      <c r="J668" s="34"/>
      <c r="K668" s="34"/>
      <c r="L668" s="34"/>
      <c r="M668" s="34"/>
      <c r="N668" s="34"/>
      <c r="O668" s="34"/>
      <c r="P668" s="34"/>
      <c r="Q668" s="35"/>
      <c r="R668" s="35"/>
    </row>
    <row r="669" spans="2:18" ht="9.9499999999999993" customHeight="1">
      <c r="B669" s="25"/>
      <c r="D669" s="26"/>
      <c r="E669" s="27"/>
      <c r="F669" s="34"/>
      <c r="G669" s="34"/>
      <c r="H669" s="34"/>
      <c r="I669" s="34"/>
      <c r="J669" s="34"/>
      <c r="K669" s="34"/>
      <c r="L669" s="34"/>
      <c r="M669" s="34"/>
      <c r="N669" s="34"/>
      <c r="O669" s="34"/>
      <c r="P669" s="34"/>
      <c r="Q669" s="35"/>
      <c r="R669" s="35"/>
    </row>
    <row r="670" spans="2:18" ht="9.9499999999999993" customHeight="1">
      <c r="B670" s="25"/>
      <c r="D670" s="26"/>
      <c r="E670" s="27"/>
      <c r="F670" s="34"/>
      <c r="G670" s="34"/>
      <c r="H670" s="34"/>
      <c r="I670" s="34"/>
      <c r="J670" s="34"/>
      <c r="K670" s="34"/>
      <c r="L670" s="34"/>
      <c r="M670" s="34"/>
      <c r="N670" s="34"/>
      <c r="O670" s="34"/>
      <c r="P670" s="34"/>
      <c r="Q670" s="35"/>
      <c r="R670" s="35"/>
    </row>
    <row r="671" spans="2:18" ht="9.9499999999999993" customHeight="1">
      <c r="B671" s="28"/>
      <c r="D671" s="26"/>
      <c r="E671" s="27"/>
      <c r="F671" s="34"/>
      <c r="G671" s="34"/>
      <c r="H671" s="34"/>
      <c r="I671" s="34"/>
      <c r="J671" s="34"/>
      <c r="K671" s="34"/>
      <c r="L671" s="34"/>
      <c r="M671" s="34"/>
      <c r="N671" s="34"/>
      <c r="O671" s="34"/>
      <c r="P671" s="34"/>
      <c r="Q671" s="35"/>
      <c r="R671" s="35"/>
    </row>
    <row r="672" spans="2:18" ht="9.9499999999999993" customHeight="1">
      <c r="B672" s="28"/>
      <c r="D672" s="26"/>
      <c r="E672" s="27"/>
      <c r="F672" s="34"/>
      <c r="G672" s="34"/>
      <c r="H672" s="34"/>
      <c r="I672" s="34"/>
      <c r="J672" s="34"/>
      <c r="K672" s="34"/>
      <c r="L672" s="34"/>
      <c r="M672" s="34"/>
      <c r="N672" s="34"/>
      <c r="O672" s="34"/>
      <c r="P672" s="34"/>
      <c r="Q672" s="35"/>
      <c r="R672" s="35"/>
    </row>
    <row r="673" spans="6:18" ht="9.9499999999999993" customHeight="1">
      <c r="F673" s="35"/>
      <c r="G673" s="35"/>
      <c r="H673" s="35"/>
      <c r="I673" s="35"/>
      <c r="J673" s="35"/>
      <c r="K673" s="35"/>
      <c r="L673" s="35"/>
      <c r="M673" s="35"/>
      <c r="N673" s="35"/>
      <c r="O673" s="35"/>
      <c r="P673" s="35"/>
      <c r="Q673" s="35"/>
      <c r="R673" s="35"/>
    </row>
    <row r="674" spans="6:18" ht="9.9499999999999993" customHeight="1">
      <c r="F674" s="35"/>
      <c r="G674" s="35"/>
      <c r="H674" s="35"/>
      <c r="I674" s="35"/>
      <c r="J674" s="35"/>
      <c r="K674" s="35"/>
      <c r="L674" s="35"/>
      <c r="M674" s="35"/>
      <c r="N674" s="35"/>
      <c r="O674" s="35"/>
      <c r="P674" s="35"/>
      <c r="Q674" s="35"/>
      <c r="R674" s="35"/>
    </row>
    <row r="675" spans="6:18" ht="9.9499999999999993" customHeight="1">
      <c r="F675" s="35"/>
      <c r="G675" s="35"/>
      <c r="H675" s="35"/>
      <c r="I675" s="35"/>
      <c r="J675" s="35"/>
      <c r="K675" s="35"/>
      <c r="L675" s="35"/>
      <c r="M675" s="35"/>
      <c r="N675" s="35"/>
      <c r="O675" s="35"/>
      <c r="P675" s="35"/>
      <c r="Q675" s="35"/>
      <c r="R675" s="35"/>
    </row>
    <row r="676" spans="6:18" ht="9.9499999999999993" customHeight="1">
      <c r="F676" s="35"/>
      <c r="G676" s="35"/>
      <c r="H676" s="35"/>
      <c r="I676" s="35"/>
      <c r="J676" s="35"/>
      <c r="K676" s="35"/>
      <c r="L676" s="35"/>
      <c r="M676" s="35"/>
      <c r="N676" s="35"/>
      <c r="O676" s="35"/>
      <c r="P676" s="35"/>
      <c r="Q676" s="35"/>
      <c r="R676" s="35"/>
    </row>
    <row r="677" spans="6:18" ht="9.9499999999999993" customHeight="1">
      <c r="F677" s="35"/>
      <c r="G677" s="35"/>
      <c r="H677" s="35"/>
      <c r="I677" s="35"/>
      <c r="J677" s="35"/>
      <c r="K677" s="35"/>
      <c r="L677" s="35"/>
      <c r="M677" s="35"/>
      <c r="N677" s="35"/>
      <c r="O677" s="35"/>
      <c r="P677" s="35"/>
      <c r="Q677" s="35"/>
      <c r="R677" s="35"/>
    </row>
    <row r="678" spans="6:18" ht="9.9499999999999993" customHeight="1">
      <c r="F678" s="35"/>
      <c r="G678" s="35"/>
      <c r="H678" s="35"/>
      <c r="I678" s="35"/>
      <c r="J678" s="35"/>
      <c r="K678" s="35"/>
      <c r="L678" s="35"/>
      <c r="M678" s="35"/>
      <c r="N678" s="35"/>
      <c r="O678" s="35"/>
      <c r="P678" s="35"/>
      <c r="Q678" s="35"/>
      <c r="R678" s="35"/>
    </row>
    <row r="679" spans="6:18" ht="9.9499999999999993" customHeight="1">
      <c r="F679" s="35"/>
      <c r="G679" s="35"/>
      <c r="H679" s="35"/>
      <c r="I679" s="35"/>
      <c r="J679" s="35"/>
      <c r="K679" s="35"/>
      <c r="L679" s="35"/>
      <c r="M679" s="35"/>
      <c r="N679" s="35"/>
      <c r="O679" s="35"/>
      <c r="P679" s="35"/>
      <c r="Q679" s="35"/>
      <c r="R679" s="35"/>
    </row>
    <row r="680" spans="6:18" ht="9.9499999999999993" customHeight="1">
      <c r="F680" s="35"/>
      <c r="G680" s="35"/>
      <c r="H680" s="35"/>
      <c r="I680" s="35"/>
      <c r="J680" s="35"/>
      <c r="K680" s="35"/>
      <c r="L680" s="35"/>
      <c r="M680" s="35"/>
      <c r="N680" s="35"/>
      <c r="O680" s="35"/>
      <c r="P680" s="35"/>
      <c r="Q680" s="35"/>
      <c r="R680" s="35"/>
    </row>
    <row r="681" spans="6:18" ht="9.9499999999999993" customHeight="1">
      <c r="F681" s="35"/>
      <c r="G681" s="35"/>
      <c r="H681" s="35"/>
      <c r="I681" s="35"/>
      <c r="J681" s="35"/>
      <c r="K681" s="35"/>
      <c r="L681" s="35"/>
      <c r="M681" s="35"/>
      <c r="N681" s="35"/>
      <c r="O681" s="35"/>
      <c r="P681" s="35"/>
      <c r="Q681" s="35"/>
      <c r="R681" s="35"/>
    </row>
    <row r="682" spans="6:18" ht="9.9499999999999993" customHeight="1">
      <c r="F682" s="35"/>
      <c r="G682" s="35"/>
      <c r="H682" s="35"/>
      <c r="I682" s="35"/>
      <c r="J682" s="35"/>
      <c r="K682" s="35"/>
      <c r="L682" s="35"/>
      <c r="M682" s="35"/>
      <c r="N682" s="35"/>
      <c r="O682" s="35"/>
      <c r="P682" s="35"/>
      <c r="Q682" s="35"/>
      <c r="R682" s="35"/>
    </row>
    <row r="683" spans="6:18" ht="9.9499999999999993" customHeight="1">
      <c r="F683" s="35"/>
      <c r="G683" s="35"/>
      <c r="H683" s="35"/>
      <c r="I683" s="35"/>
      <c r="J683" s="35"/>
      <c r="K683" s="35"/>
      <c r="L683" s="35"/>
      <c r="M683" s="35"/>
      <c r="N683" s="35"/>
      <c r="O683" s="35"/>
      <c r="P683" s="35"/>
      <c r="Q683" s="35"/>
      <c r="R683" s="35"/>
    </row>
    <row r="684" spans="6:18" ht="9.9499999999999993" customHeight="1">
      <c r="F684" s="35"/>
      <c r="G684" s="35"/>
      <c r="H684" s="35"/>
      <c r="I684" s="35"/>
      <c r="J684" s="35"/>
      <c r="K684" s="35"/>
      <c r="L684" s="35"/>
      <c r="M684" s="35"/>
      <c r="N684" s="35"/>
      <c r="O684" s="35"/>
      <c r="P684" s="35"/>
      <c r="Q684" s="35"/>
      <c r="R684" s="35"/>
    </row>
    <row r="685" spans="6:18" ht="9.9499999999999993" customHeight="1">
      <c r="F685" s="35"/>
      <c r="G685" s="35"/>
      <c r="H685" s="35"/>
      <c r="I685" s="35"/>
      <c r="J685" s="35"/>
      <c r="K685" s="35"/>
      <c r="L685" s="35"/>
      <c r="M685" s="35"/>
      <c r="N685" s="35"/>
      <c r="O685" s="35"/>
      <c r="P685" s="35"/>
      <c r="Q685" s="35"/>
      <c r="R685" s="35"/>
    </row>
    <row r="686" spans="6:18" ht="9.9499999999999993" customHeight="1">
      <c r="F686" s="35"/>
      <c r="G686" s="35"/>
      <c r="H686" s="35"/>
      <c r="I686" s="35"/>
      <c r="J686" s="35"/>
      <c r="K686" s="35"/>
      <c r="L686" s="35"/>
      <c r="M686" s="35"/>
      <c r="N686" s="35"/>
      <c r="O686" s="35"/>
      <c r="P686" s="35"/>
      <c r="Q686" s="35"/>
      <c r="R686" s="35"/>
    </row>
    <row r="687" spans="6:18" ht="9.9499999999999993" customHeight="1">
      <c r="F687" s="35"/>
      <c r="G687" s="35"/>
      <c r="H687" s="35"/>
      <c r="I687" s="35"/>
      <c r="J687" s="35"/>
      <c r="K687" s="35"/>
      <c r="L687" s="35"/>
      <c r="M687" s="35"/>
      <c r="N687" s="35"/>
      <c r="O687" s="35"/>
      <c r="P687" s="35"/>
      <c r="Q687" s="35"/>
      <c r="R687" s="35"/>
    </row>
    <row r="688" spans="6:18" ht="9.9499999999999993" customHeight="1">
      <c r="F688" s="35"/>
      <c r="G688" s="35"/>
      <c r="H688" s="35"/>
      <c r="I688" s="35"/>
      <c r="J688" s="35"/>
      <c r="K688" s="35"/>
      <c r="L688" s="35"/>
      <c r="M688" s="35"/>
      <c r="N688" s="35"/>
      <c r="O688" s="35"/>
      <c r="P688" s="35"/>
      <c r="Q688" s="35"/>
      <c r="R688" s="35"/>
    </row>
    <row r="689" spans="6:18" ht="9.9499999999999993" customHeight="1">
      <c r="F689" s="35"/>
      <c r="G689" s="35"/>
      <c r="H689" s="35"/>
      <c r="I689" s="35"/>
      <c r="J689" s="35"/>
      <c r="K689" s="35"/>
      <c r="L689" s="35"/>
      <c r="M689" s="35"/>
      <c r="N689" s="35"/>
      <c r="O689" s="35"/>
      <c r="P689" s="35"/>
      <c r="Q689" s="35"/>
      <c r="R689" s="35"/>
    </row>
    <row r="690" spans="6:18" ht="9.9499999999999993" customHeight="1">
      <c r="F690" s="35"/>
      <c r="G690" s="35"/>
      <c r="H690" s="35"/>
      <c r="I690" s="35"/>
      <c r="J690" s="35"/>
      <c r="K690" s="35"/>
      <c r="L690" s="35"/>
      <c r="M690" s="35"/>
      <c r="N690" s="35"/>
      <c r="O690" s="35"/>
      <c r="P690" s="35"/>
      <c r="Q690" s="35"/>
      <c r="R690" s="35"/>
    </row>
    <row r="691" spans="6:18" ht="9.9499999999999993" customHeight="1">
      <c r="F691" s="35"/>
      <c r="G691" s="35"/>
      <c r="H691" s="35"/>
      <c r="I691" s="35"/>
      <c r="J691" s="35"/>
      <c r="K691" s="35"/>
      <c r="L691" s="35"/>
      <c r="M691" s="35"/>
      <c r="N691" s="35"/>
      <c r="O691" s="35"/>
      <c r="P691" s="35"/>
      <c r="Q691" s="35"/>
      <c r="R691" s="35"/>
    </row>
    <row r="692" spans="6:18" ht="9.9499999999999993" customHeight="1">
      <c r="F692" s="35"/>
      <c r="G692" s="35"/>
      <c r="H692" s="35"/>
      <c r="I692" s="35"/>
      <c r="J692" s="35"/>
      <c r="K692" s="35"/>
      <c r="L692" s="35"/>
      <c r="M692" s="35"/>
      <c r="N692" s="35"/>
      <c r="O692" s="35"/>
      <c r="P692" s="35"/>
      <c r="Q692" s="35"/>
      <c r="R692" s="35"/>
    </row>
    <row r="693" spans="6:18" ht="9.9499999999999993" customHeight="1">
      <c r="F693" s="35"/>
      <c r="G693" s="35"/>
      <c r="H693" s="35"/>
      <c r="I693" s="35"/>
      <c r="J693" s="35"/>
      <c r="K693" s="35"/>
      <c r="L693" s="35"/>
      <c r="M693" s="35"/>
      <c r="N693" s="35"/>
      <c r="O693" s="35"/>
      <c r="P693" s="35"/>
      <c r="Q693" s="35"/>
      <c r="R693" s="35"/>
    </row>
    <row r="694" spans="6:18" ht="9.9499999999999993" customHeight="1">
      <c r="F694" s="35"/>
      <c r="G694" s="35"/>
      <c r="H694" s="35"/>
      <c r="I694" s="35"/>
      <c r="J694" s="35"/>
      <c r="K694" s="35"/>
      <c r="L694" s="35"/>
      <c r="M694" s="35"/>
      <c r="N694" s="35"/>
      <c r="O694" s="35"/>
      <c r="P694" s="35"/>
      <c r="Q694" s="35"/>
      <c r="R694" s="35"/>
    </row>
    <row r="695" spans="6:18" ht="9.9499999999999993" customHeight="1">
      <c r="F695" s="35"/>
      <c r="G695" s="35"/>
      <c r="H695" s="35"/>
      <c r="I695" s="35"/>
      <c r="J695" s="35"/>
      <c r="K695" s="35"/>
      <c r="L695" s="35"/>
      <c r="M695" s="35"/>
      <c r="N695" s="35"/>
      <c r="O695" s="35"/>
      <c r="P695" s="35"/>
      <c r="Q695" s="35"/>
      <c r="R695" s="35"/>
    </row>
    <row r="696" spans="6:18" ht="9.9499999999999993" customHeight="1">
      <c r="F696" s="35"/>
      <c r="G696" s="35"/>
      <c r="H696" s="35"/>
      <c r="I696" s="35"/>
      <c r="J696" s="35"/>
      <c r="K696" s="35"/>
      <c r="L696" s="35"/>
      <c r="M696" s="35"/>
      <c r="N696" s="35"/>
      <c r="O696" s="35"/>
      <c r="P696" s="35"/>
      <c r="Q696" s="35"/>
      <c r="R696" s="35"/>
    </row>
    <row r="697" spans="6:18" ht="9.9499999999999993" customHeight="1">
      <c r="F697" s="35"/>
      <c r="G697" s="35"/>
      <c r="H697" s="35"/>
      <c r="I697" s="35"/>
      <c r="J697" s="35"/>
      <c r="K697" s="35"/>
      <c r="L697" s="35"/>
      <c r="M697" s="35"/>
      <c r="N697" s="35"/>
      <c r="O697" s="35"/>
      <c r="P697" s="35"/>
      <c r="Q697" s="35"/>
      <c r="R697" s="35"/>
    </row>
    <row r="698" spans="6:18" ht="9.9499999999999993" customHeight="1">
      <c r="F698" s="35"/>
      <c r="G698" s="35"/>
      <c r="H698" s="35"/>
      <c r="I698" s="35"/>
      <c r="J698" s="35"/>
      <c r="K698" s="35"/>
      <c r="L698" s="35"/>
      <c r="M698" s="35"/>
      <c r="N698" s="35"/>
      <c r="O698" s="35"/>
      <c r="P698" s="35"/>
      <c r="Q698" s="35"/>
      <c r="R698" s="35"/>
    </row>
    <row r="699" spans="6:18" ht="9.9499999999999993" customHeight="1">
      <c r="F699" s="35"/>
      <c r="G699" s="35"/>
      <c r="H699" s="35"/>
      <c r="I699" s="35"/>
      <c r="J699" s="35"/>
      <c r="K699" s="35"/>
      <c r="L699" s="35"/>
      <c r="M699" s="35"/>
      <c r="N699" s="35"/>
      <c r="O699" s="35"/>
      <c r="P699" s="35"/>
      <c r="Q699" s="35"/>
      <c r="R699" s="35"/>
    </row>
    <row r="700" spans="6:18" ht="9.9499999999999993" customHeight="1">
      <c r="F700" s="35"/>
      <c r="G700" s="35"/>
      <c r="H700" s="35"/>
      <c r="I700" s="35"/>
      <c r="J700" s="35"/>
      <c r="K700" s="35"/>
      <c r="L700" s="35"/>
      <c r="M700" s="35"/>
      <c r="N700" s="35"/>
      <c r="O700" s="35"/>
      <c r="P700" s="35"/>
      <c r="Q700" s="35"/>
      <c r="R700" s="35"/>
    </row>
    <row r="701" spans="6:18" ht="9.9499999999999993" customHeight="1">
      <c r="F701" s="35"/>
      <c r="G701" s="35"/>
      <c r="H701" s="35"/>
      <c r="I701" s="35"/>
      <c r="J701" s="35"/>
      <c r="K701" s="35"/>
      <c r="L701" s="35"/>
      <c r="M701" s="35"/>
      <c r="N701" s="35"/>
      <c r="O701" s="35"/>
      <c r="P701" s="35"/>
      <c r="Q701" s="35"/>
      <c r="R701" s="35"/>
    </row>
    <row r="702" spans="6:18" ht="9.9499999999999993" customHeight="1">
      <c r="F702" s="35"/>
      <c r="G702" s="35"/>
      <c r="H702" s="35"/>
      <c r="I702" s="35"/>
      <c r="J702" s="35"/>
      <c r="K702" s="35"/>
      <c r="L702" s="35"/>
      <c r="M702" s="35"/>
      <c r="N702" s="35"/>
      <c r="O702" s="35"/>
      <c r="P702" s="35"/>
      <c r="Q702" s="35"/>
      <c r="R702" s="35"/>
    </row>
    <row r="703" spans="6:18" ht="9.9499999999999993" customHeight="1">
      <c r="F703" s="35"/>
      <c r="G703" s="35"/>
      <c r="H703" s="35"/>
      <c r="I703" s="35"/>
      <c r="J703" s="35"/>
      <c r="K703" s="35"/>
      <c r="L703" s="35"/>
      <c r="M703" s="35"/>
      <c r="N703" s="35"/>
      <c r="O703" s="35"/>
      <c r="P703" s="35"/>
      <c r="Q703" s="35"/>
      <c r="R703" s="35"/>
    </row>
    <row r="704" spans="6:18" ht="9.9499999999999993" customHeight="1">
      <c r="F704" s="35"/>
      <c r="G704" s="35"/>
      <c r="H704" s="35"/>
      <c r="I704" s="35"/>
      <c r="J704" s="35"/>
      <c r="K704" s="35"/>
      <c r="L704" s="35"/>
      <c r="M704" s="35"/>
      <c r="N704" s="35"/>
      <c r="O704" s="35"/>
      <c r="P704" s="35"/>
      <c r="Q704" s="35"/>
      <c r="R704" s="35"/>
    </row>
    <row r="705" spans="6:18" ht="9.9499999999999993" customHeight="1">
      <c r="F705" s="35"/>
      <c r="G705" s="35"/>
      <c r="H705" s="35"/>
      <c r="I705" s="35"/>
      <c r="J705" s="35"/>
      <c r="K705" s="35"/>
      <c r="L705" s="35"/>
      <c r="M705" s="35"/>
      <c r="N705" s="35"/>
      <c r="O705" s="35"/>
      <c r="P705" s="35"/>
      <c r="Q705" s="35"/>
      <c r="R705" s="35"/>
    </row>
    <row r="706" spans="6:18" ht="9.9499999999999993" customHeight="1">
      <c r="F706" s="35"/>
      <c r="G706" s="35"/>
      <c r="H706" s="35"/>
      <c r="I706" s="35"/>
      <c r="J706" s="35"/>
      <c r="K706" s="35"/>
      <c r="L706" s="35"/>
      <c r="M706" s="35"/>
      <c r="N706" s="35"/>
      <c r="O706" s="35"/>
      <c r="P706" s="35"/>
      <c r="Q706" s="35"/>
      <c r="R706" s="35"/>
    </row>
    <row r="707" spans="6:18" ht="9.9499999999999993" customHeight="1">
      <c r="F707" s="35"/>
      <c r="G707" s="35"/>
      <c r="H707" s="35"/>
      <c r="I707" s="35"/>
      <c r="J707" s="35"/>
      <c r="K707" s="35"/>
      <c r="L707" s="35"/>
      <c r="M707" s="35"/>
      <c r="N707" s="35"/>
      <c r="O707" s="35"/>
      <c r="P707" s="35"/>
      <c r="Q707" s="35"/>
      <c r="R707" s="35"/>
    </row>
    <row r="708" spans="6:18" ht="9.9499999999999993" customHeight="1">
      <c r="F708" s="35"/>
      <c r="G708" s="35"/>
      <c r="H708" s="35"/>
      <c r="I708" s="35"/>
      <c r="J708" s="35"/>
      <c r="K708" s="35"/>
      <c r="L708" s="35"/>
      <c r="M708" s="35"/>
      <c r="N708" s="35"/>
      <c r="O708" s="35"/>
      <c r="P708" s="35"/>
      <c r="Q708" s="35"/>
      <c r="R708" s="35"/>
    </row>
    <row r="709" spans="6:18" ht="9.9499999999999993" customHeight="1">
      <c r="F709" s="35"/>
      <c r="G709" s="35"/>
      <c r="H709" s="35"/>
      <c r="I709" s="35"/>
      <c r="J709" s="35"/>
      <c r="K709" s="35"/>
      <c r="L709" s="35"/>
      <c r="M709" s="35"/>
      <c r="N709" s="35"/>
      <c r="O709" s="35"/>
      <c r="P709" s="35"/>
      <c r="Q709" s="35"/>
      <c r="R709" s="35"/>
    </row>
    <row r="710" spans="6:18" ht="9.9499999999999993" customHeight="1">
      <c r="F710" s="35"/>
      <c r="G710" s="35"/>
      <c r="H710" s="35"/>
      <c r="I710" s="35"/>
      <c r="J710" s="35"/>
      <c r="K710" s="35"/>
      <c r="L710" s="35"/>
      <c r="M710" s="35"/>
      <c r="N710" s="35"/>
      <c r="O710" s="35"/>
      <c r="P710" s="35"/>
      <c r="Q710" s="35"/>
      <c r="R710" s="35"/>
    </row>
    <row r="711" spans="6:18" ht="9.9499999999999993" customHeight="1">
      <c r="F711" s="35"/>
      <c r="G711" s="35"/>
      <c r="H711" s="35"/>
      <c r="I711" s="35"/>
      <c r="J711" s="35"/>
      <c r="K711" s="35"/>
      <c r="L711" s="35"/>
      <c r="M711" s="35"/>
      <c r="N711" s="35"/>
      <c r="O711" s="35"/>
      <c r="P711" s="35"/>
      <c r="Q711" s="35"/>
      <c r="R711" s="35"/>
    </row>
    <row r="712" spans="6:18" ht="9.9499999999999993" customHeight="1">
      <c r="F712" s="35"/>
      <c r="G712" s="35"/>
      <c r="H712" s="35"/>
      <c r="I712" s="35"/>
      <c r="J712" s="35"/>
      <c r="K712" s="35"/>
      <c r="L712" s="35"/>
      <c r="M712" s="35"/>
      <c r="N712" s="35"/>
      <c r="O712" s="35"/>
      <c r="P712" s="35"/>
      <c r="Q712" s="35"/>
      <c r="R712" s="35"/>
    </row>
    <row r="713" spans="6:18" ht="9.9499999999999993" customHeight="1">
      <c r="F713" s="35"/>
      <c r="G713" s="35"/>
      <c r="H713" s="35"/>
      <c r="I713" s="35"/>
      <c r="J713" s="35"/>
      <c r="K713" s="35"/>
      <c r="L713" s="35"/>
      <c r="M713" s="35"/>
      <c r="N713" s="35"/>
      <c r="O713" s="35"/>
      <c r="P713" s="35"/>
      <c r="Q713" s="35"/>
      <c r="R713" s="35"/>
    </row>
    <row r="714" spans="6:18" ht="9.9499999999999993" customHeight="1">
      <c r="F714" s="35"/>
      <c r="G714" s="35"/>
      <c r="H714" s="35"/>
      <c r="I714" s="35"/>
      <c r="J714" s="35"/>
      <c r="K714" s="35"/>
      <c r="L714" s="35"/>
      <c r="M714" s="35"/>
      <c r="N714" s="35"/>
      <c r="O714" s="35"/>
      <c r="P714" s="35"/>
      <c r="Q714" s="35"/>
      <c r="R714" s="35"/>
    </row>
    <row r="715" spans="6:18" ht="9.9499999999999993" customHeight="1">
      <c r="F715" s="35"/>
      <c r="G715" s="35"/>
      <c r="H715" s="35"/>
      <c r="I715" s="35"/>
      <c r="J715" s="35"/>
      <c r="K715" s="35"/>
      <c r="L715" s="35"/>
      <c r="M715" s="35"/>
      <c r="N715" s="35"/>
      <c r="O715" s="35"/>
      <c r="P715" s="35"/>
      <c r="Q715" s="35"/>
      <c r="R715" s="35"/>
    </row>
    <row r="716" spans="6:18" ht="9.9499999999999993" customHeight="1">
      <c r="F716" s="35"/>
      <c r="G716" s="35"/>
      <c r="H716" s="35"/>
      <c r="I716" s="35"/>
      <c r="J716" s="35"/>
      <c r="K716" s="35"/>
      <c r="L716" s="35"/>
      <c r="M716" s="35"/>
      <c r="N716" s="35"/>
      <c r="O716" s="35"/>
      <c r="P716" s="35"/>
      <c r="Q716" s="35"/>
      <c r="R716" s="35"/>
    </row>
    <row r="717" spans="6:18" ht="9.9499999999999993" customHeight="1">
      <c r="F717" s="35"/>
      <c r="G717" s="35"/>
      <c r="H717" s="35"/>
      <c r="I717" s="35"/>
      <c r="J717" s="35"/>
      <c r="K717" s="35"/>
      <c r="L717" s="35"/>
      <c r="M717" s="35"/>
      <c r="N717" s="35"/>
      <c r="O717" s="35"/>
      <c r="P717" s="35"/>
      <c r="Q717" s="35"/>
      <c r="R717" s="35"/>
    </row>
    <row r="718" spans="6:18" ht="9.9499999999999993" customHeight="1">
      <c r="F718" s="35"/>
      <c r="G718" s="35"/>
      <c r="H718" s="35"/>
      <c r="I718" s="35"/>
      <c r="J718" s="35"/>
      <c r="K718" s="35"/>
      <c r="L718" s="35"/>
      <c r="M718" s="35"/>
      <c r="N718" s="35"/>
      <c r="O718" s="35"/>
      <c r="P718" s="35"/>
      <c r="Q718" s="35"/>
      <c r="R718" s="35"/>
    </row>
    <row r="719" spans="6:18" ht="9.9499999999999993" customHeight="1">
      <c r="F719" s="35"/>
      <c r="G719" s="35"/>
      <c r="H719" s="35"/>
      <c r="I719" s="35"/>
      <c r="J719" s="35"/>
      <c r="K719" s="35"/>
      <c r="L719" s="35"/>
      <c r="M719" s="35"/>
      <c r="N719" s="35"/>
      <c r="O719" s="35"/>
      <c r="P719" s="35"/>
      <c r="Q719" s="35"/>
      <c r="R719" s="35"/>
    </row>
    <row r="720" spans="6:18" ht="9.9499999999999993" customHeight="1">
      <c r="F720" s="35"/>
      <c r="G720" s="35"/>
      <c r="H720" s="35"/>
      <c r="I720" s="35"/>
      <c r="J720" s="35"/>
      <c r="K720" s="35"/>
      <c r="L720" s="35"/>
      <c r="M720" s="35"/>
      <c r="N720" s="35"/>
      <c r="O720" s="35"/>
      <c r="P720" s="35"/>
      <c r="Q720" s="35"/>
      <c r="R720" s="35"/>
    </row>
    <row r="721" spans="6:18" ht="9.9499999999999993" customHeight="1">
      <c r="F721" s="35"/>
      <c r="G721" s="35"/>
      <c r="H721" s="35"/>
      <c r="I721" s="35"/>
      <c r="J721" s="35"/>
      <c r="K721" s="35"/>
      <c r="L721" s="35"/>
      <c r="M721" s="35"/>
      <c r="N721" s="35"/>
      <c r="O721" s="35"/>
      <c r="P721" s="35"/>
      <c r="Q721" s="35"/>
      <c r="R721" s="35"/>
    </row>
    <row r="722" spans="6:18" ht="9.9499999999999993" customHeight="1">
      <c r="F722" s="35"/>
      <c r="G722" s="35"/>
      <c r="H722" s="35"/>
      <c r="I722" s="35"/>
      <c r="J722" s="35"/>
      <c r="K722" s="35"/>
      <c r="L722" s="35"/>
      <c r="M722" s="35"/>
      <c r="N722" s="35"/>
      <c r="O722" s="35"/>
      <c r="P722" s="35"/>
      <c r="Q722" s="35"/>
      <c r="R722" s="35"/>
    </row>
    <row r="723" spans="6:18" ht="9.9499999999999993" customHeight="1">
      <c r="F723" s="35"/>
      <c r="G723" s="35"/>
      <c r="H723" s="35"/>
      <c r="I723" s="35"/>
      <c r="J723" s="35"/>
      <c r="K723" s="35"/>
      <c r="L723" s="35"/>
      <c r="M723" s="35"/>
      <c r="N723" s="35"/>
      <c r="O723" s="35"/>
      <c r="P723" s="35"/>
      <c r="Q723" s="35"/>
      <c r="R723" s="35"/>
    </row>
    <row r="724" spans="6:18" ht="9.9499999999999993" customHeight="1">
      <c r="F724" s="35"/>
      <c r="G724" s="35"/>
      <c r="H724" s="35"/>
      <c r="I724" s="35"/>
      <c r="J724" s="35"/>
      <c r="K724" s="35"/>
      <c r="L724" s="35"/>
      <c r="M724" s="35"/>
      <c r="N724" s="35"/>
      <c r="O724" s="35"/>
      <c r="P724" s="35"/>
      <c r="Q724" s="35"/>
      <c r="R724" s="35"/>
    </row>
    <row r="725" spans="6:18" ht="9.9499999999999993" customHeight="1">
      <c r="F725" s="35"/>
      <c r="G725" s="35"/>
      <c r="H725" s="35"/>
      <c r="I725" s="35"/>
      <c r="J725" s="35"/>
      <c r="K725" s="35"/>
      <c r="L725" s="35"/>
      <c r="M725" s="35"/>
      <c r="N725" s="35"/>
      <c r="O725" s="35"/>
      <c r="P725" s="35"/>
      <c r="Q725" s="35"/>
      <c r="R725" s="35"/>
    </row>
    <row r="726" spans="6:18" ht="9.9499999999999993" customHeight="1">
      <c r="F726" s="35"/>
      <c r="G726" s="35"/>
      <c r="H726" s="35"/>
      <c r="I726" s="35"/>
      <c r="J726" s="35"/>
      <c r="K726" s="35"/>
      <c r="L726" s="35"/>
      <c r="M726" s="35"/>
      <c r="N726" s="35"/>
      <c r="O726" s="35"/>
      <c r="P726" s="35"/>
      <c r="Q726" s="35"/>
      <c r="R726" s="35"/>
    </row>
    <row r="727" spans="6:18" ht="9.9499999999999993" customHeight="1">
      <c r="F727" s="35"/>
      <c r="G727" s="35"/>
      <c r="H727" s="35"/>
      <c r="I727" s="35"/>
      <c r="J727" s="35"/>
      <c r="K727" s="35"/>
      <c r="L727" s="35"/>
      <c r="M727" s="35"/>
      <c r="N727" s="35"/>
      <c r="O727" s="35"/>
      <c r="P727" s="35"/>
      <c r="Q727" s="35"/>
      <c r="R727" s="35"/>
    </row>
    <row r="728" spans="6:18" ht="9.9499999999999993" customHeight="1">
      <c r="F728" s="35"/>
      <c r="G728" s="35"/>
      <c r="H728" s="35"/>
      <c r="I728" s="35"/>
      <c r="J728" s="35"/>
      <c r="K728" s="35"/>
      <c r="L728" s="35"/>
      <c r="M728" s="35"/>
      <c r="N728" s="35"/>
      <c r="O728" s="35"/>
      <c r="P728" s="35"/>
      <c r="Q728" s="35"/>
      <c r="R728" s="35"/>
    </row>
    <row r="729" spans="6:18" ht="9.9499999999999993" customHeight="1">
      <c r="F729" s="35"/>
      <c r="G729" s="35"/>
      <c r="H729" s="35"/>
      <c r="I729" s="35"/>
      <c r="J729" s="35"/>
      <c r="K729" s="35"/>
      <c r="L729" s="35"/>
      <c r="M729" s="35"/>
      <c r="N729" s="35"/>
      <c r="O729" s="35"/>
      <c r="P729" s="35"/>
      <c r="Q729" s="35"/>
      <c r="R729" s="35"/>
    </row>
    <row r="730" spans="6:18" ht="9.9499999999999993" customHeight="1">
      <c r="F730" s="35"/>
      <c r="G730" s="35"/>
      <c r="H730" s="35"/>
      <c r="I730" s="35"/>
      <c r="J730" s="35"/>
      <c r="K730" s="35"/>
      <c r="L730" s="35"/>
      <c r="M730" s="35"/>
      <c r="N730" s="35"/>
      <c r="O730" s="35"/>
      <c r="P730" s="35"/>
      <c r="Q730" s="35"/>
      <c r="R730" s="35"/>
    </row>
    <row r="731" spans="6:18" ht="9.9499999999999993" customHeight="1">
      <c r="F731" s="35"/>
      <c r="G731" s="35"/>
      <c r="H731" s="35"/>
      <c r="I731" s="35"/>
      <c r="J731" s="35"/>
      <c r="K731" s="35"/>
      <c r="L731" s="35"/>
      <c r="M731" s="35"/>
      <c r="N731" s="35"/>
      <c r="O731" s="35"/>
      <c r="P731" s="35"/>
      <c r="Q731" s="35"/>
      <c r="R731" s="35"/>
    </row>
    <row r="732" spans="6:18" ht="9.9499999999999993" customHeight="1">
      <c r="F732" s="35"/>
      <c r="G732" s="35"/>
      <c r="H732" s="35"/>
      <c r="I732" s="35"/>
      <c r="J732" s="35"/>
      <c r="K732" s="35"/>
      <c r="L732" s="35"/>
      <c r="M732" s="35"/>
      <c r="N732" s="35"/>
      <c r="O732" s="35"/>
      <c r="P732" s="35"/>
      <c r="Q732" s="35"/>
      <c r="R732" s="35"/>
    </row>
    <row r="733" spans="6:18" ht="9.9499999999999993" customHeight="1">
      <c r="F733" s="35"/>
      <c r="G733" s="35"/>
      <c r="H733" s="35"/>
      <c r="I733" s="35"/>
      <c r="J733" s="35"/>
      <c r="K733" s="35"/>
      <c r="L733" s="35"/>
      <c r="M733" s="35"/>
      <c r="N733" s="35"/>
      <c r="O733" s="35"/>
      <c r="P733" s="35"/>
      <c r="Q733" s="35"/>
      <c r="R733" s="35"/>
    </row>
    <row r="734" spans="6:18" ht="9.9499999999999993" customHeight="1">
      <c r="F734" s="35"/>
      <c r="G734" s="35"/>
      <c r="H734" s="35"/>
      <c r="I734" s="35"/>
      <c r="J734" s="35"/>
      <c r="K734" s="35"/>
      <c r="L734" s="35"/>
      <c r="M734" s="35"/>
      <c r="N734" s="35"/>
      <c r="O734" s="35"/>
      <c r="P734" s="35"/>
      <c r="Q734" s="35"/>
      <c r="R734" s="35"/>
    </row>
    <row r="735" spans="6:18" ht="9.9499999999999993" customHeight="1">
      <c r="F735" s="35"/>
      <c r="G735" s="35"/>
      <c r="H735" s="35"/>
      <c r="I735" s="35"/>
      <c r="J735" s="35"/>
      <c r="K735" s="35"/>
      <c r="L735" s="35"/>
      <c r="M735" s="35"/>
      <c r="N735" s="35"/>
      <c r="O735" s="35"/>
      <c r="P735" s="35"/>
      <c r="Q735" s="35"/>
      <c r="R735" s="35"/>
    </row>
    <row r="736" spans="6:18" ht="9.9499999999999993" customHeight="1">
      <c r="F736" s="35"/>
      <c r="G736" s="35"/>
      <c r="H736" s="35"/>
      <c r="I736" s="35"/>
      <c r="J736" s="35"/>
      <c r="K736" s="35"/>
      <c r="L736" s="35"/>
      <c r="M736" s="35"/>
      <c r="N736" s="35"/>
      <c r="O736" s="35"/>
      <c r="P736" s="35"/>
      <c r="Q736" s="35"/>
      <c r="R736" s="35"/>
    </row>
    <row r="737" spans="6:18" ht="9.9499999999999993" customHeight="1">
      <c r="F737" s="35"/>
      <c r="G737" s="35"/>
      <c r="H737" s="35"/>
      <c r="I737" s="35"/>
      <c r="J737" s="35"/>
      <c r="K737" s="35"/>
      <c r="L737" s="35"/>
      <c r="M737" s="35"/>
      <c r="N737" s="35"/>
      <c r="O737" s="35"/>
      <c r="P737" s="35"/>
      <c r="Q737" s="35"/>
      <c r="R737" s="35"/>
    </row>
    <row r="738" spans="6:18" ht="9.9499999999999993" customHeight="1">
      <c r="F738" s="35"/>
      <c r="G738" s="35"/>
      <c r="H738" s="35"/>
      <c r="I738" s="35"/>
      <c r="J738" s="35"/>
      <c r="K738" s="35"/>
      <c r="L738" s="35"/>
      <c r="M738" s="35"/>
      <c r="N738" s="35"/>
      <c r="O738" s="35"/>
      <c r="P738" s="35"/>
      <c r="Q738" s="35"/>
      <c r="R738" s="35"/>
    </row>
    <row r="739" spans="6:18" ht="9.9499999999999993" customHeight="1">
      <c r="F739" s="35"/>
      <c r="G739" s="35"/>
      <c r="H739" s="35"/>
      <c r="I739" s="35"/>
      <c r="J739" s="35"/>
      <c r="K739" s="35"/>
      <c r="L739" s="35"/>
      <c r="M739" s="35"/>
      <c r="N739" s="35"/>
      <c r="O739" s="35"/>
      <c r="P739" s="35"/>
      <c r="Q739" s="35"/>
      <c r="R739" s="35"/>
    </row>
    <row r="740" spans="6:18" ht="9.9499999999999993" customHeight="1">
      <c r="F740" s="35"/>
      <c r="G740" s="35"/>
      <c r="H740" s="35"/>
      <c r="I740" s="35"/>
      <c r="J740" s="35"/>
      <c r="K740" s="35"/>
      <c r="L740" s="35"/>
      <c r="M740" s="35"/>
      <c r="N740" s="35"/>
      <c r="O740" s="35"/>
      <c r="P740" s="35"/>
      <c r="Q740" s="35"/>
      <c r="R740" s="35"/>
    </row>
    <row r="741" spans="6:18" ht="9.9499999999999993" customHeight="1">
      <c r="F741" s="35"/>
      <c r="G741" s="35"/>
      <c r="H741" s="35"/>
      <c r="I741" s="35"/>
      <c r="J741" s="35"/>
      <c r="K741" s="35"/>
      <c r="L741" s="35"/>
      <c r="M741" s="35"/>
      <c r="N741" s="35"/>
      <c r="O741" s="35"/>
      <c r="P741" s="35"/>
      <c r="Q741" s="35"/>
      <c r="R741" s="35"/>
    </row>
    <row r="742" spans="6:18" ht="9.9499999999999993" customHeight="1">
      <c r="F742" s="35"/>
      <c r="G742" s="35"/>
      <c r="H742" s="35"/>
      <c r="I742" s="35"/>
      <c r="J742" s="35"/>
      <c r="K742" s="35"/>
      <c r="L742" s="35"/>
      <c r="M742" s="35"/>
      <c r="N742" s="35"/>
      <c r="O742" s="35"/>
      <c r="P742" s="35"/>
      <c r="Q742" s="35"/>
      <c r="R742" s="35"/>
    </row>
    <row r="743" spans="6:18" ht="9.9499999999999993" customHeight="1">
      <c r="F743" s="35"/>
      <c r="G743" s="35"/>
      <c r="H743" s="35"/>
      <c r="I743" s="35"/>
      <c r="J743" s="35"/>
      <c r="K743" s="35"/>
      <c r="L743" s="35"/>
      <c r="M743" s="35"/>
      <c r="N743" s="35"/>
      <c r="O743" s="35"/>
      <c r="P743" s="35"/>
      <c r="Q743" s="35"/>
      <c r="R743" s="35"/>
    </row>
    <row r="744" spans="6:18" ht="9.9499999999999993" customHeight="1">
      <c r="F744" s="35"/>
      <c r="G744" s="35"/>
      <c r="H744" s="35"/>
      <c r="I744" s="35"/>
      <c r="J744" s="35"/>
      <c r="K744" s="35"/>
      <c r="L744" s="35"/>
      <c r="M744" s="35"/>
      <c r="N744" s="35"/>
      <c r="O744" s="35"/>
      <c r="P744" s="35"/>
      <c r="Q744" s="35"/>
      <c r="R744" s="35"/>
    </row>
    <row r="745" spans="6:18" ht="9.9499999999999993" customHeight="1">
      <c r="F745" s="35"/>
      <c r="G745" s="35"/>
      <c r="H745" s="35"/>
      <c r="I745" s="35"/>
      <c r="J745" s="35"/>
      <c r="K745" s="35"/>
      <c r="L745" s="35"/>
      <c r="M745" s="35"/>
      <c r="N745" s="35"/>
      <c r="O745" s="35"/>
      <c r="P745" s="35"/>
      <c r="Q745" s="35"/>
      <c r="R745" s="35"/>
    </row>
    <row r="746" spans="6:18" ht="9.9499999999999993" customHeight="1">
      <c r="F746" s="35"/>
      <c r="G746" s="35"/>
      <c r="H746" s="35"/>
      <c r="I746" s="35"/>
      <c r="J746" s="35"/>
      <c r="K746" s="35"/>
      <c r="L746" s="35"/>
      <c r="M746" s="35"/>
      <c r="N746" s="35"/>
      <c r="O746" s="35"/>
      <c r="P746" s="35"/>
      <c r="Q746" s="35"/>
      <c r="R746" s="35"/>
    </row>
    <row r="747" spans="6:18" ht="9.9499999999999993" customHeight="1">
      <c r="F747" s="35"/>
      <c r="G747" s="35"/>
      <c r="H747" s="35"/>
      <c r="I747" s="35"/>
      <c r="J747" s="35"/>
      <c r="K747" s="35"/>
      <c r="L747" s="35"/>
      <c r="M747" s="35"/>
      <c r="N747" s="35"/>
      <c r="O747" s="35"/>
      <c r="P747" s="35"/>
      <c r="Q747" s="35"/>
      <c r="R747" s="35"/>
    </row>
    <row r="748" spans="6:18" ht="9.9499999999999993" customHeight="1">
      <c r="F748" s="35"/>
      <c r="G748" s="35"/>
      <c r="H748" s="35"/>
      <c r="I748" s="35"/>
      <c r="J748" s="35"/>
      <c r="K748" s="35"/>
      <c r="L748" s="35"/>
      <c r="M748" s="35"/>
      <c r="N748" s="35"/>
      <c r="O748" s="35"/>
      <c r="P748" s="35"/>
      <c r="Q748" s="35"/>
      <c r="R748" s="35"/>
    </row>
    <row r="749" spans="6:18" ht="9.9499999999999993" customHeight="1">
      <c r="F749" s="35"/>
      <c r="G749" s="35"/>
      <c r="H749" s="35"/>
      <c r="I749" s="35"/>
      <c r="J749" s="35"/>
      <c r="K749" s="35"/>
      <c r="L749" s="35"/>
      <c r="M749" s="35"/>
      <c r="N749" s="35"/>
      <c r="O749" s="35"/>
      <c r="P749" s="35"/>
      <c r="Q749" s="35"/>
      <c r="R749" s="35"/>
    </row>
    <row r="750" spans="6:18" ht="9.9499999999999993" customHeight="1">
      <c r="F750" s="35"/>
      <c r="G750" s="35"/>
      <c r="H750" s="35"/>
      <c r="I750" s="35"/>
      <c r="J750" s="35"/>
      <c r="K750" s="35"/>
      <c r="L750" s="35"/>
      <c r="M750" s="35"/>
      <c r="N750" s="35"/>
      <c r="O750" s="35"/>
      <c r="P750" s="35"/>
      <c r="Q750" s="35"/>
      <c r="R750" s="35"/>
    </row>
    <row r="751" spans="6:18" ht="9.9499999999999993" customHeight="1">
      <c r="F751" s="35"/>
      <c r="G751" s="35"/>
      <c r="H751" s="35"/>
      <c r="I751" s="35"/>
      <c r="J751" s="35"/>
      <c r="K751" s="35"/>
      <c r="L751" s="35"/>
      <c r="M751" s="35"/>
      <c r="N751" s="35"/>
      <c r="O751" s="35"/>
      <c r="P751" s="35"/>
      <c r="Q751" s="35"/>
      <c r="R751" s="35"/>
    </row>
    <row r="752" spans="6:18" ht="9.9499999999999993" customHeight="1">
      <c r="F752" s="35"/>
      <c r="G752" s="35"/>
      <c r="H752" s="35"/>
      <c r="I752" s="35"/>
      <c r="J752" s="35"/>
      <c r="K752" s="35"/>
      <c r="L752" s="35"/>
      <c r="M752" s="35"/>
      <c r="N752" s="35"/>
      <c r="O752" s="35"/>
      <c r="P752" s="35"/>
      <c r="Q752" s="35"/>
      <c r="R752" s="35"/>
    </row>
    <row r="753" spans="6:18" ht="9.9499999999999993" customHeight="1">
      <c r="F753" s="35"/>
      <c r="G753" s="35"/>
      <c r="H753" s="35"/>
      <c r="I753" s="35"/>
      <c r="J753" s="35"/>
      <c r="K753" s="35"/>
      <c r="L753" s="35"/>
      <c r="M753" s="35"/>
      <c r="N753" s="35"/>
      <c r="O753" s="35"/>
      <c r="P753" s="35"/>
      <c r="Q753" s="35"/>
      <c r="R753" s="35"/>
    </row>
    <row r="754" spans="6:18" ht="9.9499999999999993" customHeight="1">
      <c r="F754" s="35"/>
      <c r="G754" s="35"/>
      <c r="H754" s="35"/>
      <c r="I754" s="35"/>
      <c r="J754" s="35"/>
      <c r="K754" s="35"/>
      <c r="L754" s="35"/>
      <c r="M754" s="35"/>
      <c r="N754" s="35"/>
      <c r="O754" s="35"/>
      <c r="P754" s="35"/>
      <c r="Q754" s="35"/>
      <c r="R754" s="35"/>
    </row>
    <row r="755" spans="6:18" ht="9.9499999999999993" customHeight="1">
      <c r="F755" s="35"/>
      <c r="G755" s="35"/>
      <c r="H755" s="35"/>
      <c r="I755" s="35"/>
      <c r="J755" s="35"/>
      <c r="K755" s="35"/>
      <c r="L755" s="35"/>
      <c r="M755" s="35"/>
      <c r="N755" s="35"/>
      <c r="O755" s="35"/>
      <c r="P755" s="35"/>
      <c r="Q755" s="35"/>
      <c r="R755" s="35"/>
    </row>
    <row r="756" spans="6:18" ht="9.9499999999999993" customHeight="1">
      <c r="F756" s="35"/>
      <c r="G756" s="35"/>
      <c r="H756" s="35"/>
      <c r="I756" s="35"/>
      <c r="J756" s="35"/>
      <c r="K756" s="35"/>
      <c r="L756" s="35"/>
      <c r="M756" s="35"/>
      <c r="N756" s="35"/>
      <c r="O756" s="35"/>
      <c r="P756" s="35"/>
      <c r="Q756" s="35"/>
      <c r="R756" s="35"/>
    </row>
    <row r="757" spans="6:18" ht="9.9499999999999993" customHeight="1">
      <c r="F757" s="35"/>
      <c r="G757" s="35"/>
      <c r="H757" s="35"/>
      <c r="I757" s="35"/>
      <c r="J757" s="35"/>
      <c r="K757" s="35"/>
      <c r="L757" s="35"/>
      <c r="M757" s="35"/>
      <c r="N757" s="35"/>
      <c r="O757" s="35"/>
      <c r="P757" s="35"/>
      <c r="Q757" s="35"/>
      <c r="R757" s="35"/>
    </row>
    <row r="758" spans="6:18" ht="9.9499999999999993" customHeight="1">
      <c r="F758" s="35"/>
      <c r="G758" s="35"/>
      <c r="H758" s="35"/>
      <c r="I758" s="35"/>
      <c r="J758" s="35"/>
      <c r="K758" s="35"/>
      <c r="L758" s="35"/>
      <c r="M758" s="35"/>
      <c r="N758" s="35"/>
      <c r="O758" s="35"/>
      <c r="P758" s="35"/>
      <c r="Q758" s="35"/>
      <c r="R758" s="35"/>
    </row>
    <row r="759" spans="6:18" ht="9.9499999999999993" customHeight="1">
      <c r="F759" s="35"/>
      <c r="G759" s="35"/>
      <c r="H759" s="35"/>
      <c r="I759" s="35"/>
      <c r="J759" s="35"/>
      <c r="K759" s="35"/>
      <c r="L759" s="35"/>
      <c r="M759" s="35"/>
      <c r="N759" s="35"/>
      <c r="O759" s="35"/>
      <c r="P759" s="35"/>
      <c r="Q759" s="35"/>
      <c r="R759" s="35"/>
    </row>
    <row r="760" spans="6:18" ht="9.9499999999999993" customHeight="1">
      <c r="F760" s="35"/>
      <c r="G760" s="35"/>
      <c r="H760" s="35"/>
      <c r="I760" s="35"/>
      <c r="J760" s="35"/>
      <c r="K760" s="35"/>
      <c r="L760" s="35"/>
      <c r="M760" s="35"/>
      <c r="N760" s="35"/>
      <c r="O760" s="35"/>
      <c r="P760" s="35"/>
      <c r="Q760" s="35"/>
      <c r="R760" s="35"/>
    </row>
    <row r="761" spans="6:18" ht="9.9499999999999993" customHeight="1">
      <c r="F761" s="35"/>
      <c r="G761" s="35"/>
      <c r="H761" s="35"/>
      <c r="I761" s="35"/>
      <c r="J761" s="35"/>
      <c r="K761" s="35"/>
      <c r="L761" s="35"/>
      <c r="M761" s="35"/>
      <c r="N761" s="35"/>
      <c r="O761" s="35"/>
      <c r="P761" s="35"/>
      <c r="Q761" s="35"/>
      <c r="R761" s="35"/>
    </row>
    <row r="762" spans="6:18" ht="9.9499999999999993" customHeight="1">
      <c r="F762" s="35"/>
      <c r="G762" s="35"/>
      <c r="H762" s="35"/>
      <c r="I762" s="35"/>
      <c r="J762" s="35"/>
      <c r="K762" s="35"/>
      <c r="L762" s="35"/>
      <c r="M762" s="35"/>
      <c r="N762" s="35"/>
      <c r="O762" s="35"/>
      <c r="P762" s="35"/>
      <c r="Q762" s="35"/>
      <c r="R762" s="35"/>
    </row>
    <row r="763" spans="6:18" ht="9.9499999999999993" customHeight="1">
      <c r="F763" s="35"/>
      <c r="G763" s="35"/>
      <c r="H763" s="35"/>
      <c r="I763" s="35"/>
      <c r="J763" s="35"/>
      <c r="K763" s="35"/>
      <c r="L763" s="35"/>
      <c r="M763" s="35"/>
      <c r="N763" s="35"/>
      <c r="O763" s="35"/>
      <c r="P763" s="35"/>
      <c r="Q763" s="35"/>
      <c r="R763" s="35"/>
    </row>
    <row r="764" spans="6:18" ht="9.9499999999999993" customHeight="1">
      <c r="F764" s="35"/>
      <c r="G764" s="35"/>
      <c r="H764" s="35"/>
      <c r="I764" s="35"/>
      <c r="J764" s="35"/>
      <c r="K764" s="35"/>
      <c r="L764" s="35"/>
      <c r="M764" s="35"/>
      <c r="N764" s="35"/>
      <c r="O764" s="35"/>
      <c r="P764" s="35"/>
      <c r="Q764" s="35"/>
      <c r="R764" s="35"/>
    </row>
    <row r="765" spans="6:18" ht="9.9499999999999993" customHeight="1">
      <c r="F765" s="35"/>
      <c r="G765" s="35"/>
      <c r="H765" s="35"/>
      <c r="I765" s="35"/>
      <c r="J765" s="35"/>
      <c r="K765" s="35"/>
      <c r="L765" s="35"/>
      <c r="M765" s="35"/>
      <c r="N765" s="35"/>
      <c r="O765" s="35"/>
      <c r="P765" s="35"/>
      <c r="Q765" s="35"/>
      <c r="R765" s="35"/>
    </row>
    <row r="766" spans="6:18" ht="9.9499999999999993" customHeight="1">
      <c r="F766" s="35"/>
      <c r="G766" s="35"/>
      <c r="H766" s="35"/>
      <c r="I766" s="35"/>
      <c r="J766" s="35"/>
      <c r="K766" s="35"/>
      <c r="L766" s="35"/>
      <c r="M766" s="35"/>
      <c r="N766" s="35"/>
      <c r="O766" s="35"/>
      <c r="P766" s="35"/>
      <c r="Q766" s="35"/>
      <c r="R766" s="35"/>
    </row>
    <row r="767" spans="6:18" ht="9.9499999999999993" customHeight="1">
      <c r="F767" s="35"/>
      <c r="G767" s="35"/>
      <c r="H767" s="35"/>
      <c r="I767" s="35"/>
      <c r="J767" s="35"/>
      <c r="K767" s="35"/>
      <c r="L767" s="35"/>
      <c r="M767" s="35"/>
      <c r="N767" s="35"/>
      <c r="O767" s="35"/>
      <c r="P767" s="35"/>
      <c r="Q767" s="35"/>
      <c r="R767" s="35"/>
    </row>
    <row r="768" spans="6:18" ht="9.9499999999999993" customHeight="1">
      <c r="F768" s="35"/>
      <c r="G768" s="35"/>
      <c r="H768" s="35"/>
      <c r="I768" s="35"/>
      <c r="J768" s="35"/>
      <c r="K768" s="35"/>
      <c r="L768" s="35"/>
      <c r="M768" s="35"/>
      <c r="N768" s="35"/>
      <c r="O768" s="35"/>
      <c r="P768" s="35"/>
      <c r="Q768" s="35"/>
      <c r="R768" s="35"/>
    </row>
    <row r="769" spans="6:18" ht="9.9499999999999993" customHeight="1">
      <c r="F769" s="35"/>
      <c r="G769" s="35"/>
      <c r="H769" s="35"/>
      <c r="I769" s="35"/>
      <c r="J769" s="35"/>
      <c r="K769" s="35"/>
      <c r="L769" s="35"/>
      <c r="M769" s="35"/>
      <c r="N769" s="35"/>
      <c r="O769" s="35"/>
      <c r="P769" s="35"/>
      <c r="Q769" s="35"/>
      <c r="R769" s="35"/>
    </row>
    <row r="770" spans="6:18" ht="9.9499999999999993" customHeight="1">
      <c r="F770" s="35"/>
      <c r="G770" s="35"/>
      <c r="H770" s="35"/>
      <c r="I770" s="35"/>
      <c r="J770" s="35"/>
      <c r="K770" s="35"/>
      <c r="L770" s="35"/>
      <c r="M770" s="35"/>
      <c r="N770" s="35"/>
      <c r="O770" s="35"/>
      <c r="P770" s="35"/>
      <c r="Q770" s="35"/>
      <c r="R770" s="35"/>
    </row>
    <row r="771" spans="6:18" ht="9.9499999999999993" customHeight="1">
      <c r="F771" s="35"/>
      <c r="G771" s="35"/>
      <c r="H771" s="35"/>
      <c r="I771" s="35"/>
      <c r="J771" s="35"/>
      <c r="K771" s="35"/>
      <c r="L771" s="35"/>
      <c r="M771" s="35"/>
      <c r="N771" s="35"/>
      <c r="O771" s="35"/>
      <c r="P771" s="35"/>
      <c r="Q771" s="35"/>
      <c r="R771" s="35"/>
    </row>
    <row r="772" spans="6:18" ht="9.9499999999999993" customHeight="1">
      <c r="F772" s="35"/>
      <c r="G772" s="35"/>
      <c r="H772" s="35"/>
      <c r="I772" s="35"/>
      <c r="J772" s="35"/>
      <c r="K772" s="35"/>
      <c r="L772" s="35"/>
      <c r="M772" s="35"/>
      <c r="N772" s="35"/>
      <c r="O772" s="35"/>
      <c r="P772" s="35"/>
      <c r="Q772" s="35"/>
      <c r="R772" s="35"/>
    </row>
    <row r="773" spans="6:18" ht="9.9499999999999993" customHeight="1">
      <c r="F773" s="35"/>
      <c r="G773" s="35"/>
      <c r="H773" s="35"/>
      <c r="I773" s="35"/>
      <c r="J773" s="35"/>
      <c r="K773" s="35"/>
      <c r="L773" s="35"/>
      <c r="M773" s="35"/>
      <c r="N773" s="35"/>
      <c r="O773" s="35"/>
      <c r="P773" s="35"/>
      <c r="Q773" s="35"/>
      <c r="R773" s="35"/>
    </row>
    <row r="774" spans="6:18" ht="9.9499999999999993" customHeight="1">
      <c r="F774" s="35"/>
      <c r="G774" s="35"/>
      <c r="H774" s="35"/>
      <c r="I774" s="35"/>
      <c r="J774" s="35"/>
      <c r="K774" s="35"/>
      <c r="L774" s="35"/>
      <c r="M774" s="35"/>
      <c r="N774" s="35"/>
      <c r="O774" s="35"/>
      <c r="P774" s="35"/>
      <c r="Q774" s="35"/>
      <c r="R774" s="35"/>
    </row>
    <row r="775" spans="6:18" ht="9.9499999999999993" customHeight="1">
      <c r="F775" s="35"/>
      <c r="G775" s="35"/>
      <c r="H775" s="35"/>
      <c r="I775" s="35"/>
      <c r="J775" s="35"/>
      <c r="K775" s="35"/>
      <c r="L775" s="35"/>
      <c r="M775" s="35"/>
      <c r="N775" s="35"/>
      <c r="O775" s="35"/>
      <c r="P775" s="35"/>
      <c r="Q775" s="35"/>
      <c r="R775" s="35"/>
    </row>
    <row r="776" spans="6:18" ht="9.9499999999999993" customHeight="1">
      <c r="F776" s="35"/>
      <c r="G776" s="35"/>
      <c r="H776" s="35"/>
      <c r="I776" s="35"/>
      <c r="J776" s="35"/>
      <c r="K776" s="35"/>
      <c r="L776" s="35"/>
      <c r="M776" s="35"/>
      <c r="N776" s="35"/>
      <c r="O776" s="35"/>
      <c r="P776" s="35"/>
      <c r="Q776" s="35"/>
      <c r="R776" s="35"/>
    </row>
    <row r="777" spans="6:18" ht="9.9499999999999993" customHeight="1">
      <c r="F777" s="35"/>
      <c r="G777" s="35"/>
      <c r="H777" s="35"/>
      <c r="I777" s="35"/>
      <c r="J777" s="35"/>
      <c r="K777" s="35"/>
      <c r="L777" s="35"/>
      <c r="M777" s="35"/>
      <c r="N777" s="35"/>
      <c r="O777" s="35"/>
      <c r="P777" s="35"/>
      <c r="Q777" s="35"/>
      <c r="R777" s="35"/>
    </row>
    <row r="778" spans="6:18" ht="9.9499999999999993" customHeight="1">
      <c r="F778" s="35"/>
      <c r="G778" s="35"/>
      <c r="H778" s="35"/>
      <c r="I778" s="35"/>
      <c r="J778" s="35"/>
      <c r="K778" s="35"/>
      <c r="L778" s="35"/>
      <c r="M778" s="35"/>
      <c r="N778" s="35"/>
      <c r="O778" s="35"/>
      <c r="P778" s="35"/>
      <c r="Q778" s="35"/>
      <c r="R778" s="35"/>
    </row>
    <row r="779" spans="6:18" ht="9.9499999999999993" customHeight="1">
      <c r="F779" s="35"/>
      <c r="G779" s="35"/>
      <c r="H779" s="35"/>
      <c r="I779" s="35"/>
      <c r="J779" s="35"/>
      <c r="K779" s="35"/>
      <c r="L779" s="35"/>
      <c r="M779" s="35"/>
      <c r="N779" s="35"/>
      <c r="O779" s="35"/>
      <c r="P779" s="35"/>
      <c r="Q779" s="35"/>
      <c r="R779" s="35"/>
    </row>
    <row r="780" spans="6:18" ht="9.9499999999999993" customHeight="1">
      <c r="F780" s="35"/>
      <c r="G780" s="35"/>
      <c r="H780" s="35"/>
      <c r="I780" s="35"/>
      <c r="J780" s="35"/>
      <c r="K780" s="35"/>
      <c r="L780" s="35"/>
      <c r="M780" s="35"/>
      <c r="N780" s="35"/>
      <c r="O780" s="35"/>
      <c r="P780" s="35"/>
      <c r="Q780" s="35"/>
      <c r="R780" s="35"/>
    </row>
    <row r="781" spans="6:18" ht="9.9499999999999993" customHeight="1">
      <c r="F781" s="35"/>
      <c r="G781" s="35"/>
      <c r="H781" s="35"/>
      <c r="I781" s="35"/>
      <c r="J781" s="35"/>
      <c r="K781" s="35"/>
      <c r="L781" s="35"/>
      <c r="M781" s="35"/>
      <c r="N781" s="35"/>
      <c r="O781" s="35"/>
      <c r="P781" s="35"/>
      <c r="Q781" s="35"/>
      <c r="R781" s="35"/>
    </row>
    <row r="782" spans="6:18" ht="9.9499999999999993" customHeight="1">
      <c r="F782" s="35"/>
      <c r="G782" s="35"/>
      <c r="H782" s="35"/>
      <c r="I782" s="35"/>
      <c r="J782" s="35"/>
      <c r="K782" s="35"/>
      <c r="L782" s="35"/>
      <c r="M782" s="35"/>
      <c r="N782" s="35"/>
      <c r="O782" s="35"/>
      <c r="P782" s="35"/>
      <c r="Q782" s="35"/>
      <c r="R782" s="35"/>
    </row>
    <row r="783" spans="6:18" ht="9.9499999999999993" customHeight="1">
      <c r="F783" s="35"/>
      <c r="G783" s="35"/>
      <c r="H783" s="35"/>
      <c r="I783" s="35"/>
      <c r="J783" s="35"/>
      <c r="K783" s="35"/>
      <c r="L783" s="35"/>
      <c r="M783" s="35"/>
      <c r="N783" s="35"/>
      <c r="O783" s="35"/>
      <c r="P783" s="35"/>
      <c r="Q783" s="35"/>
      <c r="R783" s="35"/>
    </row>
    <row r="784" spans="6:18" ht="9.9499999999999993" customHeight="1">
      <c r="F784" s="35"/>
      <c r="G784" s="35"/>
      <c r="H784" s="35"/>
      <c r="I784" s="35"/>
      <c r="J784" s="35"/>
      <c r="K784" s="35"/>
      <c r="L784" s="35"/>
      <c r="M784" s="35"/>
      <c r="N784" s="35"/>
      <c r="O784" s="35"/>
      <c r="P784" s="35"/>
      <c r="Q784" s="35"/>
      <c r="R784" s="35"/>
    </row>
    <row r="785" spans="6:18" ht="9.9499999999999993" customHeight="1">
      <c r="F785" s="35"/>
      <c r="G785" s="35"/>
      <c r="H785" s="35"/>
      <c r="I785" s="35"/>
      <c r="J785" s="35"/>
      <c r="K785" s="35"/>
      <c r="L785" s="35"/>
      <c r="M785" s="35"/>
      <c r="N785" s="35"/>
      <c r="O785" s="35"/>
      <c r="P785" s="35"/>
      <c r="Q785" s="35"/>
      <c r="R785" s="35"/>
    </row>
    <row r="786" spans="6:18" ht="9.9499999999999993" customHeight="1">
      <c r="F786" s="35"/>
      <c r="G786" s="35"/>
      <c r="H786" s="35"/>
      <c r="I786" s="35"/>
      <c r="J786" s="35"/>
      <c r="K786" s="35"/>
      <c r="L786" s="35"/>
      <c r="M786" s="35"/>
      <c r="N786" s="35"/>
      <c r="O786" s="35"/>
      <c r="P786" s="35"/>
      <c r="Q786" s="35"/>
      <c r="R786" s="35"/>
    </row>
    <row r="787" spans="6:18" ht="9.9499999999999993" customHeight="1">
      <c r="F787" s="35"/>
      <c r="G787" s="35"/>
      <c r="H787" s="35"/>
      <c r="I787" s="35"/>
      <c r="J787" s="35"/>
      <c r="K787" s="35"/>
      <c r="L787" s="35"/>
      <c r="M787" s="35"/>
      <c r="N787" s="35"/>
      <c r="O787" s="35"/>
      <c r="P787" s="35"/>
      <c r="Q787" s="35"/>
      <c r="R787" s="35"/>
    </row>
    <row r="788" spans="6:18" ht="9.9499999999999993" customHeight="1">
      <c r="F788" s="35"/>
      <c r="G788" s="35"/>
      <c r="H788" s="35"/>
      <c r="I788" s="35"/>
      <c r="J788" s="35"/>
      <c r="K788" s="35"/>
      <c r="L788" s="35"/>
      <c r="M788" s="35"/>
      <c r="N788" s="35"/>
      <c r="O788" s="35"/>
      <c r="P788" s="35"/>
      <c r="Q788" s="35"/>
      <c r="R788" s="35"/>
    </row>
    <row r="789" spans="6:18" ht="9.9499999999999993" customHeight="1">
      <c r="F789" s="35"/>
      <c r="G789" s="35"/>
      <c r="H789" s="35"/>
      <c r="I789" s="35"/>
      <c r="J789" s="35"/>
      <c r="K789" s="35"/>
      <c r="L789" s="35"/>
      <c r="M789" s="35"/>
      <c r="N789" s="35"/>
      <c r="O789" s="35"/>
      <c r="P789" s="35"/>
      <c r="Q789" s="35"/>
      <c r="R789" s="35"/>
    </row>
    <row r="790" spans="6:18" ht="9.9499999999999993" customHeight="1">
      <c r="F790" s="35"/>
      <c r="G790" s="35"/>
      <c r="H790" s="35"/>
      <c r="I790" s="35"/>
      <c r="J790" s="35"/>
      <c r="K790" s="35"/>
      <c r="L790" s="35"/>
      <c r="M790" s="35"/>
      <c r="N790" s="35"/>
      <c r="O790" s="35"/>
      <c r="P790" s="35"/>
      <c r="Q790" s="35"/>
      <c r="R790" s="35"/>
    </row>
    <row r="791" spans="6:18" ht="9.9499999999999993" customHeight="1">
      <c r="F791" s="35"/>
      <c r="G791" s="35"/>
      <c r="H791" s="35"/>
      <c r="I791" s="35"/>
      <c r="J791" s="35"/>
      <c r="K791" s="35"/>
      <c r="L791" s="35"/>
      <c r="M791" s="35"/>
      <c r="N791" s="35"/>
      <c r="O791" s="35"/>
      <c r="P791" s="35"/>
      <c r="Q791" s="35"/>
      <c r="R791" s="35"/>
    </row>
    <row r="792" spans="6:18" ht="9.9499999999999993" customHeight="1">
      <c r="F792" s="35"/>
      <c r="G792" s="35"/>
      <c r="H792" s="35"/>
      <c r="I792" s="35"/>
      <c r="J792" s="35"/>
      <c r="K792" s="35"/>
      <c r="L792" s="35"/>
      <c r="M792" s="35"/>
      <c r="N792" s="35"/>
      <c r="O792" s="35"/>
      <c r="P792" s="35"/>
      <c r="Q792" s="35"/>
      <c r="R792" s="35"/>
    </row>
    <row r="793" spans="6:18" ht="9.9499999999999993" customHeight="1">
      <c r="F793" s="35"/>
      <c r="G793" s="35"/>
      <c r="H793" s="35"/>
      <c r="I793" s="35"/>
      <c r="J793" s="35"/>
      <c r="K793" s="35"/>
      <c r="L793" s="35"/>
      <c r="M793" s="35"/>
      <c r="N793" s="35"/>
      <c r="O793" s="35"/>
      <c r="P793" s="35"/>
      <c r="Q793" s="35"/>
      <c r="R793" s="35"/>
    </row>
    <row r="794" spans="6:18" ht="9.9499999999999993" customHeight="1">
      <c r="F794" s="35"/>
      <c r="G794" s="35"/>
      <c r="H794" s="35"/>
      <c r="I794" s="35"/>
      <c r="J794" s="35"/>
      <c r="K794" s="35"/>
      <c r="L794" s="35"/>
      <c r="M794" s="35"/>
      <c r="N794" s="35"/>
      <c r="O794" s="35"/>
      <c r="P794" s="35"/>
      <c r="Q794" s="35"/>
      <c r="R794" s="35"/>
    </row>
    <row r="795" spans="6:18" ht="9.9499999999999993" customHeight="1">
      <c r="F795" s="35"/>
      <c r="G795" s="35"/>
      <c r="H795" s="35"/>
      <c r="I795" s="35"/>
      <c r="J795" s="35"/>
      <c r="K795" s="35"/>
      <c r="L795" s="35"/>
      <c r="M795" s="35"/>
      <c r="N795" s="35"/>
      <c r="O795" s="35"/>
      <c r="P795" s="35"/>
      <c r="Q795" s="35"/>
      <c r="R795" s="35"/>
    </row>
    <row r="796" spans="6:18" ht="9.9499999999999993" customHeight="1">
      <c r="F796" s="35"/>
      <c r="G796" s="35"/>
      <c r="H796" s="35"/>
      <c r="I796" s="35"/>
      <c r="J796" s="35"/>
      <c r="K796" s="35"/>
      <c r="L796" s="35"/>
      <c r="M796" s="35"/>
      <c r="N796" s="35"/>
      <c r="O796" s="35"/>
      <c r="P796" s="35"/>
      <c r="Q796" s="35"/>
      <c r="R796" s="35"/>
    </row>
    <row r="797" spans="6:18" ht="9.9499999999999993" customHeight="1">
      <c r="F797" s="35"/>
      <c r="G797" s="35"/>
      <c r="H797" s="35"/>
      <c r="I797" s="35"/>
      <c r="J797" s="35"/>
      <c r="K797" s="35"/>
      <c r="L797" s="35"/>
      <c r="M797" s="35"/>
      <c r="N797" s="35"/>
      <c r="O797" s="35"/>
      <c r="P797" s="35"/>
      <c r="Q797" s="35"/>
      <c r="R797" s="35"/>
    </row>
    <row r="798" spans="6:18" ht="9.9499999999999993" customHeight="1">
      <c r="F798" s="35"/>
      <c r="G798" s="35"/>
      <c r="H798" s="35"/>
      <c r="I798" s="35"/>
      <c r="J798" s="35"/>
      <c r="K798" s="35"/>
      <c r="L798" s="35"/>
      <c r="M798" s="35"/>
      <c r="N798" s="35"/>
      <c r="O798" s="35"/>
      <c r="P798" s="35"/>
      <c r="Q798" s="35"/>
      <c r="R798" s="35"/>
    </row>
    <row r="799" spans="6:18" ht="9.9499999999999993" customHeight="1">
      <c r="F799" s="35"/>
      <c r="G799" s="35"/>
      <c r="H799" s="35"/>
      <c r="I799" s="35"/>
      <c r="J799" s="35"/>
      <c r="K799" s="35"/>
      <c r="L799" s="35"/>
      <c r="M799" s="35"/>
      <c r="N799" s="35"/>
      <c r="O799" s="35"/>
      <c r="P799" s="35"/>
      <c r="Q799" s="35"/>
      <c r="R799" s="35"/>
    </row>
    <row r="800" spans="6:18" ht="9.9499999999999993" customHeight="1">
      <c r="F800" s="35"/>
      <c r="G800" s="35"/>
      <c r="H800" s="35"/>
      <c r="I800" s="35"/>
      <c r="J800" s="35"/>
      <c r="K800" s="35"/>
      <c r="L800" s="35"/>
      <c r="M800" s="35"/>
      <c r="N800" s="35"/>
      <c r="O800" s="35"/>
      <c r="P800" s="35"/>
      <c r="Q800" s="35"/>
      <c r="R800" s="35"/>
    </row>
    <row r="801" spans="6:18" ht="9.9499999999999993" customHeight="1">
      <c r="F801" s="35"/>
      <c r="G801" s="35"/>
      <c r="H801" s="35"/>
      <c r="I801" s="35"/>
      <c r="J801" s="35"/>
      <c r="K801" s="35"/>
      <c r="L801" s="35"/>
      <c r="M801" s="35"/>
      <c r="N801" s="35"/>
      <c r="O801" s="35"/>
      <c r="P801" s="35"/>
      <c r="Q801" s="35"/>
      <c r="R801" s="35"/>
    </row>
    <row r="802" spans="6:18" ht="9.9499999999999993" customHeight="1">
      <c r="F802" s="35"/>
      <c r="G802" s="35"/>
      <c r="H802" s="35"/>
      <c r="I802" s="35"/>
      <c r="J802" s="35"/>
      <c r="K802" s="35"/>
      <c r="L802" s="35"/>
      <c r="M802" s="35"/>
      <c r="N802" s="35"/>
      <c r="O802" s="35"/>
      <c r="P802" s="35"/>
      <c r="Q802" s="35"/>
      <c r="R802" s="35"/>
    </row>
    <row r="803" spans="6:18" ht="9.9499999999999993" customHeight="1">
      <c r="F803" s="35"/>
      <c r="G803" s="35"/>
      <c r="H803" s="35"/>
      <c r="I803" s="35"/>
      <c r="J803" s="35"/>
      <c r="K803" s="35"/>
      <c r="L803" s="35"/>
      <c r="M803" s="35"/>
      <c r="N803" s="35"/>
      <c r="O803" s="35"/>
      <c r="P803" s="35"/>
      <c r="Q803" s="35"/>
      <c r="R803" s="35"/>
    </row>
    <row r="804" spans="6:18" ht="9.9499999999999993" customHeight="1">
      <c r="F804" s="35"/>
      <c r="G804" s="35"/>
      <c r="H804" s="35"/>
      <c r="I804" s="35"/>
      <c r="J804" s="35"/>
      <c r="K804" s="35"/>
      <c r="L804" s="35"/>
      <c r="M804" s="35"/>
      <c r="N804" s="35"/>
      <c r="O804" s="35"/>
      <c r="P804" s="35"/>
      <c r="Q804" s="35"/>
      <c r="R804" s="35"/>
    </row>
    <row r="805" spans="6:18" ht="9.9499999999999993" customHeight="1">
      <c r="F805" s="35"/>
      <c r="G805" s="35"/>
      <c r="H805" s="35"/>
      <c r="I805" s="35"/>
      <c r="J805" s="35"/>
      <c r="K805" s="35"/>
      <c r="L805" s="35"/>
      <c r="M805" s="35"/>
      <c r="N805" s="35"/>
      <c r="O805" s="35"/>
      <c r="P805" s="35"/>
      <c r="Q805" s="35"/>
      <c r="R805" s="35"/>
    </row>
    <row r="806" spans="6:18" ht="9.9499999999999993" customHeight="1">
      <c r="F806" s="35"/>
      <c r="G806" s="35"/>
      <c r="H806" s="35"/>
      <c r="I806" s="35"/>
      <c r="J806" s="35"/>
      <c r="K806" s="35"/>
      <c r="L806" s="35"/>
      <c r="M806" s="35"/>
      <c r="N806" s="35"/>
      <c r="O806" s="35"/>
      <c r="P806" s="35"/>
      <c r="Q806" s="35"/>
      <c r="R806" s="35"/>
    </row>
    <row r="807" spans="6:18" ht="9.9499999999999993" customHeight="1">
      <c r="F807" s="35"/>
      <c r="G807" s="35"/>
      <c r="H807" s="35"/>
      <c r="I807" s="35"/>
      <c r="J807" s="35"/>
      <c r="K807" s="35"/>
      <c r="L807" s="35"/>
      <c r="M807" s="35"/>
      <c r="N807" s="35"/>
      <c r="O807" s="35"/>
      <c r="P807" s="35"/>
      <c r="Q807" s="35"/>
      <c r="R807" s="35"/>
    </row>
    <row r="808" spans="6:18" ht="9.9499999999999993" customHeight="1">
      <c r="F808" s="35"/>
      <c r="G808" s="35"/>
      <c r="H808" s="35"/>
      <c r="I808" s="35"/>
      <c r="J808" s="35"/>
      <c r="K808" s="35"/>
      <c r="L808" s="35"/>
      <c r="M808" s="35"/>
      <c r="N808" s="35"/>
      <c r="O808" s="35"/>
      <c r="P808" s="35"/>
      <c r="Q808" s="35"/>
      <c r="R808" s="35"/>
    </row>
    <row r="809" spans="6:18" ht="9.9499999999999993" customHeight="1">
      <c r="F809" s="35"/>
      <c r="G809" s="35"/>
      <c r="H809" s="35"/>
      <c r="I809" s="35"/>
      <c r="J809" s="35"/>
      <c r="K809" s="35"/>
      <c r="L809" s="35"/>
      <c r="M809" s="35"/>
      <c r="N809" s="35"/>
      <c r="O809" s="35"/>
      <c r="P809" s="35"/>
      <c r="Q809" s="35"/>
      <c r="R809" s="35"/>
    </row>
    <row r="810" spans="6:18" ht="9.9499999999999993" customHeight="1">
      <c r="F810" s="35"/>
      <c r="G810" s="35"/>
      <c r="H810" s="35"/>
      <c r="I810" s="35"/>
      <c r="J810" s="35"/>
      <c r="K810" s="35"/>
      <c r="L810" s="35"/>
      <c r="M810" s="35"/>
      <c r="N810" s="35"/>
      <c r="O810" s="35"/>
      <c r="P810" s="35"/>
      <c r="Q810" s="35"/>
      <c r="R810" s="35"/>
    </row>
    <row r="811" spans="6:18" ht="9.9499999999999993" customHeight="1">
      <c r="F811" s="35"/>
      <c r="G811" s="35"/>
      <c r="H811" s="35"/>
      <c r="I811" s="35"/>
      <c r="J811" s="35"/>
      <c r="K811" s="35"/>
      <c r="L811" s="35"/>
      <c r="M811" s="35"/>
      <c r="N811" s="35"/>
      <c r="O811" s="35"/>
      <c r="P811" s="35"/>
      <c r="Q811" s="35"/>
      <c r="R811" s="35"/>
    </row>
    <row r="812" spans="6:18" ht="9.9499999999999993" customHeight="1">
      <c r="F812" s="35"/>
      <c r="G812" s="35"/>
      <c r="H812" s="35"/>
      <c r="I812" s="35"/>
      <c r="J812" s="35"/>
      <c r="K812" s="35"/>
      <c r="L812" s="35"/>
      <c r="M812" s="35"/>
      <c r="N812" s="35"/>
      <c r="O812" s="35"/>
      <c r="P812" s="35"/>
      <c r="Q812" s="35"/>
      <c r="R812" s="35"/>
    </row>
    <row r="813" spans="6:18" ht="9.9499999999999993" customHeight="1">
      <c r="F813" s="35"/>
      <c r="G813" s="35"/>
      <c r="H813" s="35"/>
      <c r="I813" s="35"/>
      <c r="J813" s="35"/>
      <c r="K813" s="35"/>
      <c r="L813" s="35"/>
      <c r="M813" s="35"/>
      <c r="N813" s="35"/>
      <c r="O813" s="35"/>
      <c r="P813" s="35"/>
      <c r="Q813" s="35"/>
      <c r="R813" s="35"/>
    </row>
    <row r="814" spans="6:18" ht="9.9499999999999993" customHeight="1">
      <c r="F814" s="35"/>
      <c r="G814" s="35"/>
      <c r="H814" s="35"/>
      <c r="I814" s="35"/>
      <c r="J814" s="35"/>
      <c r="K814" s="35"/>
      <c r="L814" s="35"/>
      <c r="M814" s="35"/>
      <c r="N814" s="35"/>
      <c r="O814" s="35"/>
      <c r="P814" s="35"/>
      <c r="Q814" s="35"/>
      <c r="R814" s="35"/>
    </row>
    <row r="815" spans="6:18" ht="9.9499999999999993" customHeight="1">
      <c r="F815" s="35"/>
      <c r="G815" s="35"/>
      <c r="H815" s="35"/>
      <c r="I815" s="35"/>
      <c r="J815" s="35"/>
      <c r="K815" s="35"/>
      <c r="L815" s="35"/>
      <c r="M815" s="35"/>
      <c r="N815" s="35"/>
      <c r="O815" s="35"/>
      <c r="P815" s="35"/>
      <c r="Q815" s="35"/>
      <c r="R815" s="35"/>
    </row>
    <row r="816" spans="6:18" ht="9.9499999999999993" customHeight="1">
      <c r="F816" s="35"/>
      <c r="G816" s="35"/>
      <c r="H816" s="35"/>
      <c r="I816" s="35"/>
      <c r="J816" s="35"/>
      <c r="K816" s="35"/>
      <c r="L816" s="35"/>
      <c r="M816" s="35"/>
      <c r="N816" s="35"/>
      <c r="O816" s="35"/>
      <c r="P816" s="35"/>
      <c r="Q816" s="35"/>
      <c r="R816" s="35"/>
    </row>
    <row r="817" spans="6:18" ht="9.9499999999999993" customHeight="1">
      <c r="F817" s="35"/>
      <c r="G817" s="35"/>
      <c r="H817" s="35"/>
      <c r="I817" s="35"/>
      <c r="J817" s="35"/>
      <c r="K817" s="35"/>
      <c r="L817" s="35"/>
      <c r="M817" s="35"/>
      <c r="N817" s="35"/>
      <c r="O817" s="35"/>
      <c r="P817" s="35"/>
      <c r="Q817" s="35"/>
      <c r="R817" s="35"/>
    </row>
    <row r="818" spans="6:18" ht="9.9499999999999993" customHeight="1">
      <c r="F818" s="35"/>
      <c r="G818" s="35"/>
      <c r="H818" s="35"/>
      <c r="I818" s="35"/>
      <c r="J818" s="35"/>
      <c r="K818" s="35"/>
      <c r="L818" s="35"/>
      <c r="M818" s="35"/>
      <c r="N818" s="35"/>
      <c r="O818" s="35"/>
      <c r="P818" s="35"/>
      <c r="Q818" s="35"/>
      <c r="R818" s="35"/>
    </row>
    <row r="819" spans="6:18" ht="9.9499999999999993" customHeight="1">
      <c r="F819" s="35"/>
      <c r="G819" s="35"/>
      <c r="H819" s="35"/>
      <c r="I819" s="35"/>
      <c r="J819" s="35"/>
      <c r="K819" s="35"/>
      <c r="L819" s="35"/>
      <c r="M819" s="35"/>
      <c r="N819" s="35"/>
      <c r="O819" s="35"/>
      <c r="P819" s="35"/>
      <c r="Q819" s="35"/>
      <c r="R819" s="35"/>
    </row>
    <row r="820" spans="6:18" ht="9.9499999999999993" customHeight="1">
      <c r="F820" s="35"/>
      <c r="G820" s="35"/>
      <c r="H820" s="35"/>
      <c r="I820" s="35"/>
      <c r="J820" s="35"/>
      <c r="K820" s="35"/>
      <c r="L820" s="35"/>
      <c r="M820" s="35"/>
      <c r="N820" s="35"/>
      <c r="O820" s="35"/>
      <c r="P820" s="35"/>
      <c r="Q820" s="35"/>
      <c r="R820" s="35"/>
    </row>
    <row r="821" spans="6:18" ht="9.9499999999999993" customHeight="1">
      <c r="F821" s="35"/>
      <c r="G821" s="35"/>
      <c r="H821" s="35"/>
      <c r="I821" s="35"/>
      <c r="J821" s="35"/>
      <c r="K821" s="35"/>
      <c r="L821" s="35"/>
      <c r="M821" s="35"/>
      <c r="N821" s="35"/>
      <c r="O821" s="35"/>
      <c r="P821" s="35"/>
      <c r="Q821" s="35"/>
      <c r="R821" s="35"/>
    </row>
    <row r="822" spans="6:18" ht="9.9499999999999993" customHeight="1">
      <c r="F822" s="35"/>
      <c r="G822" s="35"/>
      <c r="H822" s="35"/>
      <c r="I822" s="35"/>
      <c r="J822" s="35"/>
      <c r="K822" s="35"/>
      <c r="L822" s="35"/>
      <c r="M822" s="35"/>
      <c r="N822" s="35"/>
      <c r="O822" s="35"/>
      <c r="P822" s="35"/>
      <c r="Q822" s="35"/>
      <c r="R822" s="35"/>
    </row>
    <row r="823" spans="6:18" ht="9.9499999999999993" customHeight="1">
      <c r="F823" s="35"/>
      <c r="G823" s="35"/>
      <c r="H823" s="35"/>
      <c r="I823" s="35"/>
      <c r="J823" s="35"/>
      <c r="K823" s="35"/>
      <c r="L823" s="35"/>
      <c r="M823" s="35"/>
      <c r="N823" s="35"/>
      <c r="O823" s="35"/>
      <c r="P823" s="35"/>
      <c r="Q823" s="35"/>
      <c r="R823" s="35"/>
    </row>
    <row r="824" spans="6:18" ht="9.9499999999999993" customHeight="1">
      <c r="F824" s="35"/>
      <c r="G824" s="35"/>
      <c r="H824" s="35"/>
      <c r="I824" s="35"/>
      <c r="J824" s="35"/>
      <c r="K824" s="35"/>
      <c r="L824" s="35"/>
      <c r="M824" s="35"/>
      <c r="N824" s="35"/>
      <c r="O824" s="35"/>
      <c r="P824" s="35"/>
      <c r="Q824" s="35"/>
      <c r="R824" s="35"/>
    </row>
    <row r="825" spans="6:18" ht="9.9499999999999993" customHeight="1">
      <c r="F825" s="35"/>
      <c r="G825" s="35"/>
      <c r="H825" s="35"/>
      <c r="I825" s="35"/>
      <c r="J825" s="35"/>
      <c r="K825" s="35"/>
      <c r="L825" s="35"/>
      <c r="M825" s="35"/>
      <c r="N825" s="35"/>
      <c r="O825" s="35"/>
      <c r="P825" s="35"/>
      <c r="Q825" s="35"/>
      <c r="R825" s="35"/>
    </row>
    <row r="826" spans="6:18" ht="9.9499999999999993" customHeight="1">
      <c r="F826" s="35"/>
      <c r="G826" s="35"/>
      <c r="H826" s="35"/>
      <c r="I826" s="35"/>
      <c r="J826" s="35"/>
      <c r="K826" s="35"/>
      <c r="L826" s="35"/>
      <c r="M826" s="35"/>
      <c r="N826" s="35"/>
      <c r="O826" s="35"/>
      <c r="P826" s="35"/>
      <c r="Q826" s="35"/>
      <c r="R826" s="35"/>
    </row>
    <row r="827" spans="6:18" ht="9.9499999999999993" customHeight="1">
      <c r="F827" s="35"/>
      <c r="G827" s="35"/>
      <c r="H827" s="35"/>
      <c r="I827" s="35"/>
      <c r="J827" s="35"/>
      <c r="K827" s="35"/>
      <c r="L827" s="35"/>
      <c r="M827" s="35"/>
      <c r="N827" s="35"/>
      <c r="O827" s="35"/>
      <c r="P827" s="35"/>
      <c r="Q827" s="35"/>
      <c r="R827" s="35"/>
    </row>
    <row r="828" spans="6:18" ht="9.9499999999999993" customHeight="1">
      <c r="F828" s="35"/>
      <c r="G828" s="35"/>
      <c r="H828" s="35"/>
      <c r="I828" s="35"/>
      <c r="J828" s="35"/>
      <c r="K828" s="35"/>
      <c r="L828" s="35"/>
      <c r="M828" s="35"/>
      <c r="N828" s="35"/>
      <c r="O828" s="35"/>
      <c r="P828" s="35"/>
      <c r="Q828" s="35"/>
      <c r="R828" s="35"/>
    </row>
    <row r="829" spans="6:18" ht="9.9499999999999993" customHeight="1">
      <c r="F829" s="35"/>
      <c r="G829" s="35"/>
      <c r="H829" s="35"/>
      <c r="I829" s="35"/>
      <c r="J829" s="35"/>
      <c r="K829" s="35"/>
      <c r="L829" s="35"/>
      <c r="M829" s="35"/>
      <c r="N829" s="35"/>
      <c r="O829" s="35"/>
      <c r="P829" s="35"/>
      <c r="Q829" s="35"/>
      <c r="R829" s="35"/>
    </row>
    <row r="830" spans="6:18" ht="9.9499999999999993" customHeight="1">
      <c r="F830" s="35"/>
      <c r="G830" s="35"/>
      <c r="H830" s="35"/>
      <c r="I830" s="35"/>
      <c r="J830" s="35"/>
      <c r="K830" s="35"/>
      <c r="L830" s="35"/>
      <c r="M830" s="35"/>
      <c r="N830" s="35"/>
      <c r="O830" s="35"/>
      <c r="P830" s="35"/>
      <c r="Q830" s="35"/>
      <c r="R830" s="35"/>
    </row>
    <row r="831" spans="6:18" ht="9.9499999999999993" customHeight="1">
      <c r="F831" s="35"/>
      <c r="G831" s="35"/>
      <c r="H831" s="35"/>
      <c r="I831" s="35"/>
      <c r="J831" s="35"/>
      <c r="K831" s="35"/>
      <c r="L831" s="35"/>
      <c r="M831" s="35"/>
      <c r="N831" s="35"/>
      <c r="O831" s="35"/>
      <c r="P831" s="35"/>
      <c r="Q831" s="35"/>
      <c r="R831" s="35"/>
    </row>
    <row r="832" spans="6:18" ht="9.9499999999999993" customHeight="1">
      <c r="F832" s="35"/>
      <c r="G832" s="35"/>
      <c r="H832" s="35"/>
      <c r="I832" s="35"/>
      <c r="J832" s="35"/>
      <c r="K832" s="35"/>
      <c r="L832" s="35"/>
      <c r="M832" s="35"/>
      <c r="N832" s="35"/>
      <c r="O832" s="35"/>
      <c r="P832" s="35"/>
      <c r="Q832" s="35"/>
      <c r="R832" s="35"/>
    </row>
    <row r="833" spans="6:18" ht="9.9499999999999993" customHeight="1">
      <c r="F833" s="35"/>
      <c r="G833" s="35"/>
      <c r="H833" s="35"/>
      <c r="I833" s="35"/>
      <c r="J833" s="35"/>
      <c r="K833" s="35"/>
      <c r="L833" s="35"/>
      <c r="M833" s="35"/>
      <c r="N833" s="35"/>
      <c r="O833" s="35"/>
      <c r="P833" s="35"/>
      <c r="Q833" s="35"/>
      <c r="R833" s="35"/>
    </row>
    <row r="834" spans="6:18" ht="9.9499999999999993" customHeight="1">
      <c r="F834" s="35"/>
      <c r="G834" s="35"/>
      <c r="H834" s="35"/>
      <c r="I834" s="35"/>
      <c r="J834" s="35"/>
      <c r="K834" s="35"/>
      <c r="L834" s="35"/>
      <c r="M834" s="35"/>
      <c r="N834" s="35"/>
      <c r="O834" s="35"/>
      <c r="P834" s="35"/>
      <c r="Q834" s="35"/>
      <c r="R834" s="35"/>
    </row>
    <row r="835" spans="6:18" ht="9.9499999999999993" customHeight="1">
      <c r="F835" s="35"/>
      <c r="G835" s="35"/>
      <c r="H835" s="35"/>
      <c r="I835" s="35"/>
      <c r="J835" s="35"/>
      <c r="K835" s="35"/>
      <c r="L835" s="35"/>
      <c r="M835" s="35"/>
      <c r="N835" s="35"/>
      <c r="O835" s="35"/>
      <c r="P835" s="35"/>
      <c r="Q835" s="35"/>
      <c r="R835" s="35"/>
    </row>
    <row r="836" spans="6:18" ht="9.9499999999999993" customHeight="1">
      <c r="F836" s="35"/>
      <c r="G836" s="35"/>
      <c r="H836" s="35"/>
      <c r="I836" s="35"/>
      <c r="J836" s="35"/>
      <c r="K836" s="35"/>
      <c r="L836" s="35"/>
      <c r="M836" s="35"/>
      <c r="N836" s="35"/>
      <c r="O836" s="35"/>
      <c r="P836" s="35"/>
      <c r="Q836" s="35"/>
      <c r="R836" s="35"/>
    </row>
    <row r="837" spans="6:18" ht="9.9499999999999993" customHeight="1">
      <c r="F837" s="35"/>
      <c r="G837" s="35"/>
      <c r="H837" s="35"/>
      <c r="I837" s="35"/>
      <c r="J837" s="35"/>
      <c r="K837" s="35"/>
      <c r="L837" s="35"/>
      <c r="M837" s="35"/>
      <c r="N837" s="35"/>
      <c r="O837" s="35"/>
      <c r="P837" s="35"/>
      <c r="Q837" s="35"/>
      <c r="R837" s="35"/>
    </row>
    <row r="838" spans="6:18" ht="9.9499999999999993" customHeight="1">
      <c r="F838" s="35"/>
      <c r="G838" s="35"/>
      <c r="H838" s="35"/>
      <c r="I838" s="35"/>
      <c r="J838" s="35"/>
      <c r="K838" s="35"/>
      <c r="L838" s="35"/>
      <c r="M838" s="35"/>
      <c r="N838" s="35"/>
      <c r="O838" s="35"/>
      <c r="P838" s="35"/>
      <c r="Q838" s="35"/>
      <c r="R838" s="35"/>
    </row>
    <row r="839" spans="6:18" ht="9.9499999999999993" customHeight="1">
      <c r="F839" s="35"/>
      <c r="G839" s="35"/>
      <c r="H839" s="35"/>
      <c r="I839" s="35"/>
      <c r="J839" s="35"/>
      <c r="K839" s="35"/>
      <c r="L839" s="35"/>
      <c r="M839" s="35"/>
      <c r="N839" s="35"/>
      <c r="O839" s="35"/>
      <c r="P839" s="35"/>
      <c r="Q839" s="35"/>
      <c r="R839" s="35"/>
    </row>
    <row r="840" spans="6:18" ht="9.9499999999999993" customHeight="1">
      <c r="F840" s="35"/>
      <c r="G840" s="35"/>
      <c r="H840" s="35"/>
      <c r="I840" s="35"/>
      <c r="J840" s="35"/>
      <c r="K840" s="35"/>
      <c r="L840" s="35"/>
      <c r="M840" s="35"/>
      <c r="N840" s="35"/>
      <c r="O840" s="35"/>
      <c r="P840" s="35"/>
      <c r="Q840" s="35"/>
      <c r="R840" s="35"/>
    </row>
    <row r="841" spans="6:18" ht="9.9499999999999993" customHeight="1">
      <c r="F841" s="35"/>
      <c r="G841" s="35"/>
      <c r="H841" s="35"/>
      <c r="I841" s="35"/>
      <c r="J841" s="35"/>
      <c r="K841" s="35"/>
      <c r="L841" s="35"/>
      <c r="M841" s="35"/>
      <c r="N841" s="35"/>
      <c r="O841" s="35"/>
      <c r="P841" s="35"/>
      <c r="Q841" s="35"/>
      <c r="R841" s="35"/>
    </row>
    <row r="842" spans="6:18" ht="9.9499999999999993" customHeight="1">
      <c r="F842" s="35"/>
      <c r="G842" s="35"/>
      <c r="H842" s="35"/>
      <c r="I842" s="35"/>
      <c r="J842" s="35"/>
      <c r="K842" s="35"/>
      <c r="L842" s="35"/>
      <c r="M842" s="35"/>
      <c r="N842" s="35"/>
      <c r="O842" s="35"/>
      <c r="P842" s="35"/>
      <c r="Q842" s="35"/>
      <c r="R842" s="35"/>
    </row>
    <row r="843" spans="6:18" ht="9.9499999999999993" customHeight="1">
      <c r="F843" s="35"/>
      <c r="G843" s="35"/>
      <c r="H843" s="35"/>
      <c r="I843" s="35"/>
      <c r="J843" s="35"/>
      <c r="K843" s="35"/>
      <c r="L843" s="35"/>
      <c r="M843" s="35"/>
      <c r="N843" s="35"/>
      <c r="O843" s="35"/>
      <c r="P843" s="35"/>
      <c r="Q843" s="35"/>
      <c r="R843" s="35"/>
    </row>
    <row r="844" spans="6:18" ht="9.9499999999999993" customHeight="1">
      <c r="F844" s="35"/>
      <c r="G844" s="35"/>
      <c r="H844" s="35"/>
      <c r="I844" s="35"/>
      <c r="J844" s="35"/>
      <c r="K844" s="35"/>
      <c r="L844" s="35"/>
      <c r="M844" s="35"/>
      <c r="N844" s="35"/>
      <c r="O844" s="35"/>
      <c r="P844" s="35"/>
      <c r="Q844" s="35"/>
      <c r="R844" s="35"/>
    </row>
    <row r="845" spans="6:18" ht="9.9499999999999993" customHeight="1">
      <c r="F845" s="35"/>
      <c r="G845" s="35"/>
      <c r="H845" s="35"/>
      <c r="I845" s="35"/>
      <c r="J845" s="35"/>
      <c r="K845" s="35"/>
      <c r="L845" s="35"/>
      <c r="M845" s="35"/>
      <c r="N845" s="35"/>
      <c r="O845" s="35"/>
      <c r="P845" s="35"/>
      <c r="Q845" s="35"/>
      <c r="R845" s="35"/>
    </row>
    <row r="846" spans="6:18" ht="9.9499999999999993" customHeight="1">
      <c r="F846" s="35"/>
      <c r="G846" s="35"/>
      <c r="H846" s="35"/>
      <c r="I846" s="35"/>
      <c r="J846" s="35"/>
      <c r="K846" s="35"/>
      <c r="L846" s="35"/>
      <c r="M846" s="35"/>
      <c r="N846" s="35"/>
      <c r="O846" s="35"/>
      <c r="P846" s="35"/>
      <c r="Q846" s="35"/>
      <c r="R846" s="35"/>
    </row>
    <row r="847" spans="6:18" ht="9.9499999999999993" customHeight="1">
      <c r="F847" s="35"/>
      <c r="G847" s="35"/>
      <c r="H847" s="35"/>
      <c r="I847" s="35"/>
      <c r="J847" s="35"/>
      <c r="K847" s="35"/>
      <c r="L847" s="35"/>
      <c r="M847" s="35"/>
      <c r="N847" s="35"/>
      <c r="O847" s="35"/>
      <c r="P847" s="35"/>
      <c r="Q847" s="35"/>
      <c r="R847" s="35"/>
    </row>
    <row r="848" spans="6:18" ht="9.9499999999999993" customHeight="1">
      <c r="F848" s="35"/>
      <c r="G848" s="35"/>
      <c r="H848" s="35"/>
      <c r="I848" s="35"/>
      <c r="J848" s="35"/>
      <c r="K848" s="35"/>
      <c r="L848" s="35"/>
      <c r="M848" s="35"/>
      <c r="N848" s="35"/>
      <c r="O848" s="35"/>
      <c r="P848" s="35"/>
      <c r="Q848" s="35"/>
      <c r="R848" s="35"/>
    </row>
    <row r="849" spans="6:18" ht="9.9499999999999993" customHeight="1">
      <c r="F849" s="35"/>
      <c r="G849" s="35"/>
      <c r="H849" s="35"/>
      <c r="I849" s="35"/>
      <c r="J849" s="35"/>
      <c r="K849" s="35"/>
      <c r="L849" s="35"/>
      <c r="M849" s="35"/>
      <c r="N849" s="35"/>
      <c r="O849" s="35"/>
      <c r="P849" s="35"/>
      <c r="Q849" s="35"/>
      <c r="R849" s="35"/>
    </row>
    <row r="850" spans="6:18" ht="9.9499999999999993" customHeight="1">
      <c r="F850" s="35"/>
      <c r="G850" s="35"/>
      <c r="H850" s="35"/>
      <c r="I850" s="35"/>
      <c r="J850" s="35"/>
      <c r="K850" s="35"/>
      <c r="L850" s="35"/>
      <c r="M850" s="35"/>
      <c r="N850" s="35"/>
      <c r="O850" s="35"/>
      <c r="P850" s="35"/>
      <c r="Q850" s="35"/>
      <c r="R850" s="35"/>
    </row>
    <row r="851" spans="6:18" ht="9.9499999999999993" customHeight="1">
      <c r="F851" s="35"/>
      <c r="G851" s="35"/>
      <c r="H851" s="35"/>
      <c r="I851" s="35"/>
      <c r="J851" s="35"/>
      <c r="K851" s="35"/>
      <c r="L851" s="35"/>
      <c r="M851" s="35"/>
      <c r="N851" s="35"/>
      <c r="O851" s="35"/>
      <c r="P851" s="35"/>
      <c r="Q851" s="35"/>
      <c r="R851" s="35"/>
    </row>
    <row r="852" spans="6:18" ht="9.9499999999999993" customHeight="1">
      <c r="F852" s="35"/>
      <c r="G852" s="35"/>
      <c r="H852" s="35"/>
      <c r="I852" s="35"/>
      <c r="J852" s="35"/>
      <c r="K852" s="35"/>
      <c r="L852" s="35"/>
      <c r="M852" s="35"/>
      <c r="N852" s="35"/>
      <c r="O852" s="35"/>
      <c r="P852" s="35"/>
      <c r="Q852" s="35"/>
      <c r="R852" s="35"/>
    </row>
    <row r="853" spans="6:18" ht="9.9499999999999993" customHeight="1">
      <c r="F853" s="35"/>
      <c r="G853" s="35"/>
      <c r="H853" s="35"/>
      <c r="I853" s="35"/>
      <c r="J853" s="35"/>
      <c r="K853" s="35"/>
      <c r="L853" s="35"/>
      <c r="M853" s="35"/>
      <c r="N853" s="35"/>
      <c r="O853" s="35"/>
      <c r="P853" s="35"/>
      <c r="Q853" s="35"/>
      <c r="R853" s="35"/>
    </row>
    <row r="854" spans="6:18" ht="9.9499999999999993" customHeight="1">
      <c r="F854" s="35"/>
      <c r="G854" s="35"/>
      <c r="H854" s="35"/>
      <c r="I854" s="35"/>
      <c r="J854" s="35"/>
      <c r="K854" s="35"/>
      <c r="L854" s="35"/>
      <c r="M854" s="35"/>
      <c r="N854" s="35"/>
      <c r="O854" s="35"/>
      <c r="P854" s="35"/>
      <c r="Q854" s="35"/>
      <c r="R854" s="35"/>
    </row>
    <row r="855" spans="6:18" ht="9.9499999999999993" customHeight="1">
      <c r="F855" s="35"/>
      <c r="G855" s="35"/>
      <c r="H855" s="35"/>
      <c r="I855" s="35"/>
      <c r="J855" s="35"/>
      <c r="K855" s="35"/>
      <c r="L855" s="35"/>
      <c r="M855" s="35"/>
      <c r="N855" s="35"/>
      <c r="O855" s="35"/>
      <c r="P855" s="35"/>
      <c r="Q855" s="35"/>
      <c r="R855" s="35"/>
    </row>
    <row r="856" spans="6:18" ht="9.9499999999999993" customHeight="1">
      <c r="F856" s="35"/>
      <c r="G856" s="35"/>
      <c r="H856" s="35"/>
      <c r="I856" s="35"/>
      <c r="J856" s="35"/>
      <c r="K856" s="35"/>
      <c r="L856" s="35"/>
      <c r="M856" s="35"/>
      <c r="N856" s="35"/>
      <c r="O856" s="35"/>
      <c r="P856" s="35"/>
      <c r="Q856" s="35"/>
      <c r="R856" s="35"/>
    </row>
    <row r="857" spans="6:18" ht="9.9499999999999993" customHeight="1">
      <c r="F857" s="35"/>
      <c r="G857" s="35"/>
      <c r="H857" s="35"/>
      <c r="I857" s="35"/>
      <c r="J857" s="35"/>
      <c r="K857" s="35"/>
      <c r="L857" s="35"/>
      <c r="M857" s="35"/>
      <c r="N857" s="35"/>
      <c r="O857" s="35"/>
      <c r="P857" s="35"/>
      <c r="Q857" s="35"/>
      <c r="R857" s="35"/>
    </row>
    <row r="858" spans="6:18" ht="9.9499999999999993" customHeight="1">
      <c r="F858" s="35"/>
      <c r="G858" s="35"/>
      <c r="H858" s="35"/>
      <c r="I858" s="35"/>
      <c r="J858" s="35"/>
      <c r="K858" s="35"/>
      <c r="L858" s="35"/>
      <c r="M858" s="35"/>
      <c r="N858" s="35"/>
      <c r="O858" s="35"/>
      <c r="P858" s="35"/>
      <c r="Q858" s="35"/>
      <c r="R858" s="35"/>
    </row>
    <row r="859" spans="6:18" ht="9.9499999999999993" customHeight="1">
      <c r="F859" s="35"/>
      <c r="G859" s="35"/>
      <c r="H859" s="35"/>
      <c r="I859" s="35"/>
      <c r="J859" s="35"/>
      <c r="K859" s="35"/>
      <c r="L859" s="35"/>
      <c r="M859" s="35"/>
      <c r="N859" s="35"/>
      <c r="O859" s="35"/>
      <c r="P859" s="35"/>
      <c r="Q859" s="35"/>
      <c r="R859" s="35"/>
    </row>
    <row r="860" spans="6:18" ht="9.9499999999999993" customHeight="1">
      <c r="F860" s="35"/>
      <c r="G860" s="35"/>
      <c r="H860" s="35"/>
      <c r="I860" s="35"/>
      <c r="J860" s="35"/>
      <c r="K860" s="35"/>
      <c r="L860" s="35"/>
      <c r="M860" s="35"/>
      <c r="N860" s="35"/>
      <c r="O860" s="35"/>
      <c r="P860" s="35"/>
      <c r="Q860" s="35"/>
      <c r="R860" s="35"/>
    </row>
    <row r="861" spans="6:18" ht="9.9499999999999993" customHeight="1">
      <c r="F861" s="35"/>
      <c r="G861" s="35"/>
      <c r="H861" s="35"/>
      <c r="I861" s="35"/>
      <c r="J861" s="35"/>
      <c r="K861" s="35"/>
      <c r="L861" s="35"/>
      <c r="M861" s="35"/>
      <c r="N861" s="35"/>
      <c r="O861" s="35"/>
      <c r="P861" s="35"/>
      <c r="Q861" s="35"/>
      <c r="R861" s="35"/>
    </row>
    <row r="862" spans="6:18" ht="9.9499999999999993" customHeight="1">
      <c r="F862" s="35"/>
      <c r="G862" s="35"/>
      <c r="H862" s="35"/>
      <c r="I862" s="35"/>
      <c r="J862" s="35"/>
      <c r="K862" s="35"/>
      <c r="L862" s="35"/>
      <c r="M862" s="35"/>
      <c r="N862" s="35"/>
      <c r="O862" s="35"/>
      <c r="P862" s="35"/>
      <c r="Q862" s="35"/>
      <c r="R862" s="35"/>
    </row>
    <row r="863" spans="6:18" ht="9.9499999999999993" customHeight="1">
      <c r="F863" s="35"/>
      <c r="G863" s="35"/>
      <c r="H863" s="35"/>
      <c r="I863" s="35"/>
      <c r="J863" s="35"/>
      <c r="K863" s="35"/>
      <c r="L863" s="35"/>
      <c r="M863" s="35"/>
      <c r="N863" s="35"/>
      <c r="O863" s="35"/>
      <c r="P863" s="35"/>
      <c r="Q863" s="35"/>
      <c r="R863" s="35"/>
    </row>
    <row r="864" spans="6:18" ht="9.9499999999999993" customHeight="1">
      <c r="F864" s="35"/>
      <c r="G864" s="35"/>
      <c r="H864" s="35"/>
      <c r="I864" s="35"/>
      <c r="J864" s="35"/>
      <c r="K864" s="35"/>
      <c r="L864" s="35"/>
      <c r="M864" s="35"/>
      <c r="N864" s="35"/>
      <c r="O864" s="35"/>
      <c r="P864" s="35"/>
      <c r="Q864" s="35"/>
      <c r="R864" s="35"/>
    </row>
    <row r="865" spans="6:18" ht="9.9499999999999993" customHeight="1">
      <c r="F865" s="35"/>
      <c r="G865" s="35"/>
      <c r="H865" s="35"/>
      <c r="I865" s="35"/>
      <c r="J865" s="35"/>
      <c r="K865" s="35"/>
      <c r="L865" s="35"/>
      <c r="M865" s="35"/>
      <c r="N865" s="35"/>
      <c r="O865" s="35"/>
      <c r="P865" s="35"/>
      <c r="Q865" s="35"/>
      <c r="R865" s="35"/>
    </row>
    <row r="866" spans="6:18" ht="9.9499999999999993" customHeight="1">
      <c r="F866" s="35"/>
      <c r="G866" s="35"/>
      <c r="H866" s="35"/>
      <c r="I866" s="35"/>
      <c r="J866" s="35"/>
      <c r="K866" s="35"/>
      <c r="L866" s="35"/>
      <c r="M866" s="35"/>
      <c r="N866" s="35"/>
      <c r="O866" s="35"/>
      <c r="P866" s="35"/>
      <c r="Q866" s="35"/>
      <c r="R866" s="35"/>
    </row>
    <row r="867" spans="6:18" ht="9.9499999999999993" customHeight="1">
      <c r="F867" s="35"/>
      <c r="G867" s="35"/>
      <c r="H867" s="35"/>
      <c r="I867" s="35"/>
      <c r="J867" s="35"/>
      <c r="K867" s="35"/>
      <c r="L867" s="35"/>
      <c r="M867" s="35"/>
      <c r="N867" s="35"/>
      <c r="O867" s="35"/>
      <c r="P867" s="35"/>
      <c r="Q867" s="35"/>
      <c r="R867" s="35"/>
    </row>
    <row r="868" spans="6:18" ht="9.9499999999999993" customHeight="1">
      <c r="F868" s="35"/>
      <c r="G868" s="35"/>
      <c r="H868" s="35"/>
      <c r="I868" s="35"/>
      <c r="J868" s="35"/>
      <c r="K868" s="35"/>
      <c r="L868" s="35"/>
      <c r="M868" s="35"/>
      <c r="N868" s="35"/>
      <c r="O868" s="35"/>
      <c r="P868" s="35"/>
      <c r="Q868" s="35"/>
      <c r="R868" s="35"/>
    </row>
    <row r="869" spans="6:18" ht="9.9499999999999993" customHeight="1">
      <c r="F869" s="35"/>
      <c r="G869" s="35"/>
      <c r="H869" s="35"/>
      <c r="I869" s="35"/>
      <c r="J869" s="35"/>
      <c r="K869" s="35"/>
      <c r="L869" s="35"/>
      <c r="M869" s="35"/>
      <c r="N869" s="35"/>
      <c r="O869" s="35"/>
      <c r="P869" s="35"/>
      <c r="Q869" s="35"/>
      <c r="R869" s="35"/>
    </row>
    <row r="870" spans="6:18" ht="9.9499999999999993" customHeight="1">
      <c r="F870" s="35"/>
      <c r="G870" s="35"/>
      <c r="H870" s="35"/>
      <c r="I870" s="35"/>
      <c r="J870" s="35"/>
      <c r="K870" s="35"/>
      <c r="L870" s="35"/>
      <c r="M870" s="35"/>
      <c r="N870" s="35"/>
      <c r="O870" s="35"/>
      <c r="P870" s="35"/>
      <c r="Q870" s="35"/>
      <c r="R870" s="35"/>
    </row>
    <row r="871" spans="6:18" ht="9.9499999999999993" customHeight="1">
      <c r="F871" s="35"/>
      <c r="G871" s="35"/>
      <c r="H871" s="35"/>
      <c r="I871" s="35"/>
      <c r="J871" s="35"/>
      <c r="K871" s="35"/>
      <c r="L871" s="35"/>
      <c r="M871" s="35"/>
      <c r="N871" s="35"/>
      <c r="O871" s="35"/>
      <c r="P871" s="35"/>
      <c r="Q871" s="35"/>
      <c r="R871" s="35"/>
    </row>
    <row r="872" spans="6:18" ht="9.9499999999999993" customHeight="1">
      <c r="F872" s="35"/>
      <c r="G872" s="35"/>
      <c r="H872" s="35"/>
      <c r="I872" s="35"/>
      <c r="J872" s="35"/>
      <c r="K872" s="35"/>
      <c r="L872" s="35"/>
      <c r="M872" s="35"/>
      <c r="N872" s="35"/>
      <c r="O872" s="35"/>
      <c r="P872" s="35"/>
      <c r="Q872" s="35"/>
      <c r="R872" s="35"/>
    </row>
    <row r="873" spans="6:18" ht="9.9499999999999993" customHeight="1">
      <c r="F873" s="35"/>
      <c r="G873" s="35"/>
      <c r="H873" s="35"/>
      <c r="I873" s="35"/>
      <c r="J873" s="35"/>
      <c r="K873" s="35"/>
      <c r="L873" s="35"/>
      <c r="M873" s="35"/>
      <c r="N873" s="35"/>
      <c r="O873" s="35"/>
      <c r="P873" s="35"/>
      <c r="Q873" s="35"/>
      <c r="R873" s="35"/>
    </row>
    <row r="874" spans="6:18" ht="9.9499999999999993" customHeight="1">
      <c r="F874" s="35"/>
      <c r="G874" s="35"/>
      <c r="H874" s="35"/>
      <c r="I874" s="35"/>
      <c r="J874" s="35"/>
      <c r="K874" s="35"/>
      <c r="L874" s="35"/>
      <c r="M874" s="35"/>
      <c r="N874" s="35"/>
      <c r="O874" s="35"/>
      <c r="P874" s="35"/>
      <c r="Q874" s="35"/>
      <c r="R874" s="35"/>
    </row>
    <row r="875" spans="6:18" ht="9.9499999999999993" customHeight="1">
      <c r="F875" s="35"/>
      <c r="G875" s="35"/>
      <c r="H875" s="35"/>
      <c r="I875" s="35"/>
      <c r="J875" s="35"/>
      <c r="K875" s="35"/>
      <c r="L875" s="35"/>
      <c r="M875" s="35"/>
      <c r="N875" s="35"/>
      <c r="O875" s="35"/>
      <c r="P875" s="35"/>
      <c r="Q875" s="35"/>
      <c r="R875" s="35"/>
    </row>
    <row r="876" spans="6:18" ht="9.9499999999999993" customHeight="1">
      <c r="F876" s="35"/>
      <c r="G876" s="35"/>
      <c r="H876" s="35"/>
      <c r="I876" s="35"/>
      <c r="J876" s="35"/>
      <c r="K876" s="35"/>
      <c r="L876" s="35"/>
      <c r="M876" s="35"/>
      <c r="N876" s="35"/>
      <c r="O876" s="35"/>
      <c r="P876" s="35"/>
      <c r="Q876" s="35"/>
      <c r="R876" s="35"/>
    </row>
    <row r="877" spans="6:18" ht="9.9499999999999993" customHeight="1">
      <c r="F877" s="35"/>
      <c r="G877" s="35"/>
      <c r="H877" s="35"/>
      <c r="I877" s="35"/>
      <c r="J877" s="35"/>
      <c r="K877" s="35"/>
      <c r="L877" s="35"/>
      <c r="M877" s="35"/>
      <c r="N877" s="35"/>
      <c r="O877" s="35"/>
      <c r="P877" s="35"/>
      <c r="Q877" s="35"/>
      <c r="R877" s="35"/>
    </row>
    <row r="878" spans="6:18" ht="9.9499999999999993" customHeight="1">
      <c r="F878" s="35"/>
      <c r="G878" s="35"/>
      <c r="H878" s="35"/>
      <c r="I878" s="35"/>
      <c r="J878" s="35"/>
      <c r="K878" s="35"/>
      <c r="L878" s="35"/>
      <c r="M878" s="35"/>
      <c r="N878" s="35"/>
      <c r="O878" s="35"/>
      <c r="P878" s="35"/>
      <c r="Q878" s="35"/>
      <c r="R878" s="35"/>
    </row>
    <row r="879" spans="6:18" ht="9.9499999999999993" customHeight="1">
      <c r="F879" s="35"/>
      <c r="G879" s="35"/>
      <c r="H879" s="35"/>
      <c r="I879" s="35"/>
      <c r="J879" s="35"/>
      <c r="K879" s="35"/>
      <c r="L879" s="35"/>
      <c r="M879" s="35"/>
      <c r="N879" s="35"/>
      <c r="O879" s="35"/>
      <c r="P879" s="35"/>
      <c r="Q879" s="35"/>
      <c r="R879" s="35"/>
    </row>
    <row r="880" spans="6:18" ht="9.9499999999999993" customHeight="1">
      <c r="F880" s="35"/>
      <c r="G880" s="35"/>
      <c r="H880" s="35"/>
      <c r="I880" s="35"/>
      <c r="J880" s="35"/>
      <c r="K880" s="35"/>
      <c r="L880" s="35"/>
      <c r="M880" s="35"/>
      <c r="N880" s="35"/>
      <c r="O880" s="35"/>
      <c r="P880" s="35"/>
      <c r="Q880" s="35"/>
      <c r="R880" s="35"/>
    </row>
    <row r="881" spans="6:18" ht="9.9499999999999993" customHeight="1">
      <c r="F881" s="35"/>
      <c r="G881" s="35"/>
      <c r="H881" s="35"/>
      <c r="I881" s="35"/>
      <c r="J881" s="35"/>
      <c r="K881" s="35"/>
      <c r="L881" s="35"/>
      <c r="M881" s="35"/>
      <c r="N881" s="35"/>
      <c r="O881" s="35"/>
      <c r="P881" s="35"/>
      <c r="Q881" s="35"/>
      <c r="R881" s="35"/>
    </row>
    <row r="882" spans="6:18" ht="9.9499999999999993" customHeight="1">
      <c r="F882" s="35"/>
      <c r="G882" s="35"/>
      <c r="H882" s="35"/>
      <c r="I882" s="35"/>
      <c r="J882" s="35"/>
      <c r="K882" s="35"/>
      <c r="L882" s="35"/>
      <c r="M882" s="35"/>
      <c r="N882" s="35"/>
      <c r="O882" s="35"/>
      <c r="P882" s="35"/>
      <c r="Q882" s="35"/>
      <c r="R882" s="35"/>
    </row>
    <row r="883" spans="6:18" ht="9.9499999999999993" customHeight="1">
      <c r="F883" s="35"/>
      <c r="G883" s="35"/>
      <c r="H883" s="35"/>
      <c r="I883" s="35"/>
      <c r="J883" s="35"/>
      <c r="K883" s="35"/>
      <c r="L883" s="35"/>
      <c r="M883" s="35"/>
      <c r="N883" s="35"/>
      <c r="O883" s="35"/>
      <c r="P883" s="35"/>
      <c r="Q883" s="35"/>
      <c r="R883" s="35"/>
    </row>
    <row r="884" spans="6:18" ht="9.9499999999999993" customHeight="1">
      <c r="F884" s="35"/>
      <c r="G884" s="35"/>
      <c r="H884" s="35"/>
      <c r="I884" s="35"/>
      <c r="J884" s="35"/>
      <c r="K884" s="35"/>
      <c r="L884" s="35"/>
      <c r="M884" s="35"/>
      <c r="N884" s="35"/>
      <c r="O884" s="35"/>
      <c r="P884" s="35"/>
      <c r="Q884" s="35"/>
      <c r="R884" s="35"/>
    </row>
    <row r="885" spans="6:18" ht="9.9499999999999993" customHeight="1">
      <c r="F885" s="35"/>
      <c r="G885" s="35"/>
      <c r="H885" s="35"/>
      <c r="I885" s="35"/>
      <c r="J885" s="35"/>
      <c r="K885" s="35"/>
      <c r="L885" s="35"/>
      <c r="M885" s="35"/>
      <c r="N885" s="35"/>
      <c r="O885" s="35"/>
      <c r="P885" s="35"/>
      <c r="Q885" s="35"/>
      <c r="R885" s="35"/>
    </row>
    <row r="886" spans="6:18" ht="9.9499999999999993" customHeight="1">
      <c r="F886" s="35"/>
      <c r="G886" s="35"/>
      <c r="H886" s="35"/>
      <c r="I886" s="35"/>
      <c r="J886" s="35"/>
      <c r="K886" s="35"/>
      <c r="L886" s="35"/>
      <c r="M886" s="35"/>
      <c r="N886" s="35"/>
      <c r="O886" s="35"/>
      <c r="P886" s="35"/>
      <c r="Q886" s="35"/>
      <c r="R886" s="35"/>
    </row>
    <row r="887" spans="6:18" ht="9.9499999999999993" customHeight="1">
      <c r="F887" s="35"/>
      <c r="G887" s="35"/>
      <c r="H887" s="35"/>
      <c r="I887" s="35"/>
      <c r="J887" s="35"/>
      <c r="K887" s="35"/>
      <c r="L887" s="35"/>
      <c r="M887" s="35"/>
      <c r="N887" s="35"/>
      <c r="O887" s="35"/>
      <c r="P887" s="35"/>
      <c r="Q887" s="35"/>
      <c r="R887" s="35"/>
    </row>
    <row r="888" spans="6:18" ht="9.9499999999999993" customHeight="1">
      <c r="F888" s="35"/>
      <c r="G888" s="35"/>
      <c r="H888" s="35"/>
      <c r="I888" s="35"/>
      <c r="J888" s="35"/>
      <c r="K888" s="35"/>
      <c r="L888" s="35"/>
      <c r="M888" s="35"/>
      <c r="N888" s="35"/>
      <c r="O888" s="35"/>
      <c r="P888" s="35"/>
      <c r="Q888" s="35"/>
      <c r="R888" s="35"/>
    </row>
    <row r="889" spans="6:18" ht="9.9499999999999993" customHeight="1">
      <c r="F889" s="35"/>
      <c r="G889" s="35"/>
      <c r="H889" s="35"/>
      <c r="I889" s="35"/>
      <c r="J889" s="35"/>
      <c r="K889" s="35"/>
      <c r="L889" s="35"/>
      <c r="M889" s="35"/>
      <c r="N889" s="35"/>
      <c r="O889" s="35"/>
      <c r="P889" s="35"/>
      <c r="Q889" s="35"/>
      <c r="R889" s="35"/>
    </row>
    <row r="890" spans="6:18" ht="9.9499999999999993" customHeight="1">
      <c r="F890" s="35"/>
      <c r="G890" s="35"/>
      <c r="H890" s="35"/>
      <c r="I890" s="35"/>
      <c r="J890" s="35"/>
      <c r="K890" s="35"/>
      <c r="L890" s="35"/>
      <c r="M890" s="35"/>
      <c r="N890" s="35"/>
      <c r="O890" s="35"/>
      <c r="P890" s="35"/>
      <c r="Q890" s="35"/>
      <c r="R890" s="35"/>
    </row>
    <row r="891" spans="6:18" ht="9.9499999999999993" customHeight="1">
      <c r="F891" s="35"/>
      <c r="G891" s="35"/>
      <c r="H891" s="35"/>
      <c r="I891" s="35"/>
      <c r="J891" s="35"/>
      <c r="K891" s="35"/>
      <c r="L891" s="35"/>
      <c r="M891" s="35"/>
      <c r="N891" s="35"/>
      <c r="O891" s="35"/>
      <c r="P891" s="35"/>
      <c r="Q891" s="35"/>
      <c r="R891" s="35"/>
    </row>
    <row r="892" spans="6:18" ht="9.9499999999999993" customHeight="1">
      <c r="F892" s="35"/>
      <c r="G892" s="35"/>
      <c r="H892" s="35"/>
      <c r="I892" s="35"/>
      <c r="J892" s="35"/>
      <c r="K892" s="35"/>
      <c r="L892" s="35"/>
      <c r="M892" s="35"/>
      <c r="N892" s="35"/>
      <c r="O892" s="35"/>
      <c r="P892" s="35"/>
      <c r="Q892" s="35"/>
      <c r="R892" s="35"/>
    </row>
    <row r="893" spans="6:18" ht="9.9499999999999993" customHeight="1">
      <c r="F893" s="35"/>
      <c r="G893" s="35"/>
      <c r="H893" s="35"/>
      <c r="I893" s="35"/>
      <c r="J893" s="35"/>
      <c r="K893" s="35"/>
      <c r="L893" s="35"/>
      <c r="M893" s="35"/>
      <c r="N893" s="35"/>
      <c r="O893" s="35"/>
      <c r="P893" s="35"/>
      <c r="Q893" s="35"/>
      <c r="R893" s="35"/>
    </row>
    <row r="894" spans="6:18" ht="9.9499999999999993" customHeight="1">
      <c r="F894" s="35"/>
      <c r="G894" s="35"/>
      <c r="H894" s="35"/>
      <c r="I894" s="35"/>
      <c r="J894" s="35"/>
      <c r="K894" s="35"/>
      <c r="L894" s="35"/>
      <c r="M894" s="35"/>
      <c r="N894" s="35"/>
      <c r="O894" s="35"/>
      <c r="P894" s="35"/>
      <c r="Q894" s="35"/>
      <c r="R894" s="35"/>
    </row>
    <row r="895" spans="6:18" ht="9.9499999999999993" customHeight="1">
      <c r="F895" s="35"/>
      <c r="G895" s="35"/>
      <c r="H895" s="35"/>
      <c r="I895" s="35"/>
      <c r="J895" s="35"/>
      <c r="K895" s="35"/>
      <c r="L895" s="35"/>
      <c r="M895" s="35"/>
      <c r="N895" s="35"/>
      <c r="O895" s="35"/>
      <c r="P895" s="35"/>
      <c r="Q895" s="35"/>
      <c r="R895" s="35"/>
    </row>
    <row r="896" spans="6:18" ht="9.9499999999999993" customHeight="1">
      <c r="F896" s="35"/>
      <c r="G896" s="35"/>
      <c r="H896" s="35"/>
      <c r="I896" s="35"/>
      <c r="J896" s="35"/>
      <c r="K896" s="35"/>
      <c r="L896" s="35"/>
      <c r="M896" s="35"/>
      <c r="N896" s="35"/>
      <c r="O896" s="35"/>
      <c r="P896" s="35"/>
      <c r="Q896" s="35"/>
      <c r="R896" s="35"/>
    </row>
    <row r="897" spans="6:18" ht="9.9499999999999993" customHeight="1">
      <c r="F897" s="35"/>
      <c r="G897" s="35"/>
      <c r="H897" s="35"/>
      <c r="I897" s="35"/>
      <c r="J897" s="35"/>
      <c r="K897" s="35"/>
      <c r="L897" s="35"/>
      <c r="M897" s="35"/>
      <c r="N897" s="35"/>
      <c r="O897" s="35"/>
      <c r="P897" s="35"/>
      <c r="Q897" s="35"/>
      <c r="R897" s="35"/>
    </row>
    <row r="898" spans="6:18" ht="9.9499999999999993" customHeight="1">
      <c r="F898" s="35"/>
      <c r="G898" s="35"/>
      <c r="H898" s="35"/>
      <c r="I898" s="35"/>
      <c r="J898" s="35"/>
      <c r="K898" s="35"/>
      <c r="L898" s="35"/>
      <c r="M898" s="35"/>
      <c r="N898" s="35"/>
      <c r="O898" s="35"/>
      <c r="P898" s="35"/>
      <c r="Q898" s="35"/>
      <c r="R898" s="35"/>
    </row>
    <row r="899" spans="6:18" ht="9.9499999999999993" customHeight="1">
      <c r="F899" s="35"/>
      <c r="G899" s="35"/>
      <c r="H899" s="35"/>
      <c r="I899" s="35"/>
      <c r="J899" s="35"/>
      <c r="K899" s="35"/>
      <c r="L899" s="35"/>
      <c r="M899" s="35"/>
      <c r="N899" s="35"/>
      <c r="O899" s="35"/>
      <c r="P899" s="35"/>
      <c r="Q899" s="35"/>
      <c r="R899" s="35"/>
    </row>
    <row r="900" spans="6:18" ht="9.9499999999999993" customHeight="1">
      <c r="F900" s="35"/>
      <c r="G900" s="35"/>
      <c r="H900" s="35"/>
      <c r="I900" s="35"/>
      <c r="J900" s="35"/>
      <c r="K900" s="35"/>
      <c r="L900" s="35"/>
      <c r="M900" s="35"/>
      <c r="N900" s="35"/>
      <c r="O900" s="35"/>
      <c r="P900" s="35"/>
      <c r="Q900" s="35"/>
      <c r="R900" s="35"/>
    </row>
    <row r="901" spans="6:18" ht="9.9499999999999993" customHeight="1">
      <c r="F901" s="35"/>
      <c r="G901" s="35"/>
      <c r="H901" s="35"/>
      <c r="I901" s="35"/>
      <c r="J901" s="35"/>
      <c r="K901" s="35"/>
      <c r="L901" s="35"/>
      <c r="M901" s="35"/>
      <c r="N901" s="35"/>
      <c r="O901" s="35"/>
      <c r="P901" s="35"/>
      <c r="Q901" s="35"/>
      <c r="R901" s="35"/>
    </row>
    <row r="902" spans="6:18" ht="9.9499999999999993" customHeight="1">
      <c r="F902" s="35"/>
      <c r="G902" s="35"/>
      <c r="H902" s="35"/>
      <c r="I902" s="35"/>
      <c r="J902" s="35"/>
      <c r="K902" s="35"/>
      <c r="L902" s="35"/>
      <c r="M902" s="35"/>
      <c r="N902" s="35"/>
      <c r="O902" s="35"/>
      <c r="P902" s="35"/>
      <c r="Q902" s="35"/>
      <c r="R902" s="35"/>
    </row>
    <row r="903" spans="6:18" ht="9.9499999999999993" customHeight="1">
      <c r="F903" s="35"/>
      <c r="G903" s="35"/>
      <c r="H903" s="35"/>
      <c r="I903" s="35"/>
      <c r="J903" s="35"/>
      <c r="K903" s="35"/>
      <c r="L903" s="35"/>
      <c r="M903" s="35"/>
      <c r="N903" s="35"/>
      <c r="O903" s="35"/>
      <c r="P903" s="35"/>
      <c r="Q903" s="35"/>
      <c r="R903" s="35"/>
    </row>
    <row r="904" spans="6:18" ht="9.9499999999999993" customHeight="1">
      <c r="F904" s="35"/>
      <c r="G904" s="35"/>
      <c r="H904" s="35"/>
      <c r="I904" s="35"/>
      <c r="J904" s="35"/>
      <c r="K904" s="35"/>
      <c r="L904" s="35"/>
      <c r="M904" s="35"/>
      <c r="N904" s="35"/>
      <c r="O904" s="35"/>
      <c r="P904" s="35"/>
      <c r="Q904" s="35"/>
      <c r="R904" s="35"/>
    </row>
    <row r="905" spans="6:18" ht="9.9499999999999993" customHeight="1">
      <c r="F905" s="35"/>
      <c r="G905" s="35"/>
      <c r="H905" s="35"/>
      <c r="I905" s="35"/>
      <c r="J905" s="35"/>
      <c r="K905" s="35"/>
      <c r="L905" s="35"/>
      <c r="M905" s="35"/>
      <c r="N905" s="35"/>
      <c r="O905" s="35"/>
      <c r="P905" s="35"/>
      <c r="Q905" s="35"/>
      <c r="R905" s="35"/>
    </row>
    <row r="906" spans="6:18" ht="9.9499999999999993" customHeight="1">
      <c r="F906" s="35"/>
      <c r="G906" s="35"/>
      <c r="H906" s="35"/>
      <c r="I906" s="35"/>
      <c r="J906" s="35"/>
      <c r="K906" s="35"/>
      <c r="L906" s="35"/>
      <c r="M906" s="35"/>
      <c r="N906" s="35"/>
      <c r="O906" s="35"/>
      <c r="P906" s="35"/>
      <c r="Q906" s="35"/>
      <c r="R906" s="35"/>
    </row>
    <row r="907" spans="6:18" ht="9.9499999999999993" customHeight="1">
      <c r="F907" s="35"/>
      <c r="G907" s="35"/>
      <c r="H907" s="35"/>
      <c r="I907" s="35"/>
      <c r="J907" s="35"/>
      <c r="K907" s="35"/>
      <c r="L907" s="35"/>
      <c r="M907" s="35"/>
      <c r="N907" s="35"/>
      <c r="O907" s="35"/>
      <c r="P907" s="35"/>
      <c r="Q907" s="35"/>
      <c r="R907" s="35"/>
    </row>
    <row r="908" spans="6:18" ht="9.9499999999999993" customHeight="1">
      <c r="F908" s="35"/>
      <c r="G908" s="35"/>
      <c r="H908" s="35"/>
      <c r="I908" s="35"/>
      <c r="J908" s="35"/>
      <c r="K908" s="35"/>
      <c r="L908" s="35"/>
      <c r="M908" s="35"/>
      <c r="N908" s="35"/>
      <c r="O908" s="35"/>
      <c r="P908" s="35"/>
      <c r="Q908" s="35"/>
      <c r="R908" s="35"/>
    </row>
    <row r="909" spans="6:18" ht="9.9499999999999993" customHeight="1">
      <c r="F909" s="35"/>
      <c r="G909" s="35"/>
      <c r="H909" s="35"/>
      <c r="I909" s="35"/>
      <c r="J909" s="35"/>
      <c r="K909" s="35"/>
      <c r="L909" s="35"/>
      <c r="M909" s="35"/>
      <c r="N909" s="35"/>
      <c r="O909" s="35"/>
      <c r="P909" s="35"/>
      <c r="Q909" s="35"/>
      <c r="R909" s="35"/>
    </row>
    <row r="910" spans="6:18" ht="9.9499999999999993" customHeight="1">
      <c r="F910" s="35"/>
      <c r="G910" s="35"/>
      <c r="H910" s="35"/>
      <c r="I910" s="35"/>
      <c r="J910" s="35"/>
      <c r="K910" s="35"/>
      <c r="L910" s="35"/>
      <c r="M910" s="35"/>
      <c r="N910" s="35"/>
      <c r="O910" s="35"/>
      <c r="P910" s="35"/>
      <c r="Q910" s="35"/>
      <c r="R910" s="35"/>
    </row>
    <row r="911" spans="6:18" ht="9.9499999999999993" customHeight="1">
      <c r="F911" s="35"/>
      <c r="G911" s="35"/>
      <c r="H911" s="35"/>
      <c r="I911" s="35"/>
      <c r="J911" s="35"/>
      <c r="K911" s="35"/>
      <c r="L911" s="35"/>
      <c r="M911" s="35"/>
      <c r="N911" s="35"/>
      <c r="O911" s="35"/>
      <c r="P911" s="35"/>
      <c r="Q911" s="35"/>
      <c r="R911" s="35"/>
    </row>
    <row r="912" spans="6:18" ht="9.9499999999999993" customHeight="1">
      <c r="F912" s="35"/>
      <c r="G912" s="35"/>
      <c r="H912" s="35"/>
      <c r="I912" s="35"/>
      <c r="J912" s="35"/>
      <c r="K912" s="35"/>
      <c r="L912" s="35"/>
      <c r="M912" s="35"/>
      <c r="N912" s="35"/>
      <c r="O912" s="35"/>
      <c r="P912" s="35"/>
      <c r="Q912" s="35"/>
      <c r="R912" s="35"/>
    </row>
    <row r="913" spans="6:18" ht="9.9499999999999993" customHeight="1">
      <c r="F913" s="35"/>
      <c r="G913" s="35"/>
      <c r="H913" s="35"/>
      <c r="I913" s="35"/>
      <c r="J913" s="35"/>
      <c r="K913" s="35"/>
      <c r="L913" s="35"/>
      <c r="M913" s="35"/>
      <c r="N913" s="35"/>
      <c r="O913" s="35"/>
      <c r="P913" s="35"/>
      <c r="Q913" s="35"/>
      <c r="R913" s="35"/>
    </row>
    <row r="914" spans="6:18" ht="9.9499999999999993" customHeight="1">
      <c r="F914" s="35"/>
      <c r="G914" s="35"/>
      <c r="H914" s="35"/>
      <c r="I914" s="35"/>
      <c r="J914" s="35"/>
      <c r="K914" s="35"/>
      <c r="L914" s="35"/>
      <c r="M914" s="35"/>
      <c r="N914" s="35"/>
      <c r="O914" s="35"/>
      <c r="P914" s="35"/>
      <c r="Q914" s="35"/>
      <c r="R914" s="35"/>
    </row>
    <row r="915" spans="6:18" ht="9.9499999999999993" customHeight="1">
      <c r="F915" s="35"/>
      <c r="G915" s="35"/>
      <c r="H915" s="35"/>
      <c r="I915" s="35"/>
      <c r="J915" s="35"/>
      <c r="K915" s="35"/>
      <c r="L915" s="35"/>
      <c r="M915" s="35"/>
      <c r="N915" s="35"/>
      <c r="O915" s="35"/>
      <c r="P915" s="35"/>
      <c r="Q915" s="35"/>
      <c r="R915" s="35"/>
    </row>
    <row r="916" spans="6:18" ht="9.9499999999999993" customHeight="1">
      <c r="F916" s="35"/>
      <c r="G916" s="35"/>
      <c r="H916" s="35"/>
      <c r="I916" s="35"/>
      <c r="J916" s="35"/>
      <c r="K916" s="35"/>
      <c r="L916" s="35"/>
      <c r="M916" s="35"/>
      <c r="N916" s="35"/>
      <c r="O916" s="35"/>
      <c r="P916" s="35"/>
      <c r="Q916" s="35"/>
      <c r="R916" s="35"/>
    </row>
    <row r="917" spans="6:18" ht="9.9499999999999993" customHeight="1">
      <c r="F917" s="35"/>
      <c r="G917" s="35"/>
      <c r="H917" s="35"/>
      <c r="I917" s="35"/>
      <c r="J917" s="35"/>
      <c r="K917" s="35"/>
      <c r="L917" s="35"/>
      <c r="M917" s="35"/>
      <c r="N917" s="35"/>
      <c r="O917" s="35"/>
      <c r="P917" s="35"/>
      <c r="Q917" s="35"/>
      <c r="R917" s="35"/>
    </row>
    <row r="918" spans="6:18" ht="9.9499999999999993" customHeight="1">
      <c r="F918" s="35"/>
      <c r="G918" s="35"/>
      <c r="H918" s="35"/>
      <c r="I918" s="35"/>
      <c r="J918" s="35"/>
      <c r="K918" s="35"/>
      <c r="L918" s="35"/>
      <c r="M918" s="35"/>
      <c r="N918" s="35"/>
      <c r="O918" s="35"/>
      <c r="P918" s="35"/>
      <c r="Q918" s="35"/>
      <c r="R918" s="35"/>
    </row>
    <row r="919" spans="6:18" ht="9.9499999999999993" customHeight="1">
      <c r="F919" s="35"/>
      <c r="G919" s="35"/>
      <c r="H919" s="35"/>
      <c r="I919" s="35"/>
      <c r="J919" s="35"/>
      <c r="K919" s="35"/>
      <c r="L919" s="35"/>
      <c r="M919" s="35"/>
      <c r="N919" s="35"/>
      <c r="O919" s="35"/>
      <c r="P919" s="35"/>
      <c r="Q919" s="35"/>
      <c r="R919" s="35"/>
    </row>
    <row r="920" spans="6:18" ht="9.9499999999999993" customHeight="1">
      <c r="F920" s="35"/>
      <c r="G920" s="35"/>
      <c r="H920" s="35"/>
      <c r="I920" s="35"/>
      <c r="J920" s="35"/>
      <c r="K920" s="35"/>
      <c r="L920" s="35"/>
      <c r="M920" s="35"/>
      <c r="N920" s="35"/>
      <c r="O920" s="35"/>
      <c r="P920" s="35"/>
      <c r="Q920" s="35"/>
      <c r="R920" s="35"/>
    </row>
    <row r="921" spans="6:18" ht="9.9499999999999993" customHeight="1">
      <c r="F921" s="35"/>
      <c r="G921" s="35"/>
      <c r="H921" s="35"/>
      <c r="I921" s="35"/>
      <c r="J921" s="35"/>
      <c r="K921" s="35"/>
      <c r="L921" s="35"/>
      <c r="M921" s="35"/>
      <c r="N921" s="35"/>
      <c r="O921" s="35"/>
      <c r="P921" s="35"/>
      <c r="Q921" s="35"/>
      <c r="R921" s="35"/>
    </row>
    <row r="922" spans="6:18" ht="9.9499999999999993" customHeight="1">
      <c r="F922" s="35"/>
      <c r="G922" s="35"/>
      <c r="H922" s="35"/>
      <c r="I922" s="35"/>
      <c r="J922" s="35"/>
      <c r="K922" s="35"/>
      <c r="L922" s="35"/>
      <c r="M922" s="35"/>
      <c r="N922" s="35"/>
      <c r="O922" s="35"/>
      <c r="P922" s="35"/>
      <c r="Q922" s="35"/>
      <c r="R922" s="35"/>
    </row>
    <row r="923" spans="6:18" ht="9.9499999999999993" customHeight="1">
      <c r="F923" s="35"/>
      <c r="G923" s="35"/>
      <c r="H923" s="35"/>
      <c r="I923" s="35"/>
      <c r="J923" s="35"/>
      <c r="K923" s="35"/>
      <c r="L923" s="35"/>
      <c r="M923" s="35"/>
      <c r="N923" s="35"/>
      <c r="O923" s="35"/>
      <c r="P923" s="35"/>
      <c r="Q923" s="35"/>
      <c r="R923" s="35"/>
    </row>
    <row r="924" spans="6:18" ht="9.9499999999999993" customHeight="1">
      <c r="F924" s="35"/>
      <c r="G924" s="35"/>
      <c r="H924" s="35"/>
      <c r="I924" s="35"/>
      <c r="J924" s="35"/>
      <c r="K924" s="35"/>
      <c r="L924" s="35"/>
      <c r="M924" s="35"/>
      <c r="N924" s="35"/>
      <c r="O924" s="35"/>
      <c r="P924" s="35"/>
      <c r="Q924" s="35"/>
      <c r="R924" s="35"/>
    </row>
    <row r="925" spans="6:18" ht="9.9499999999999993" customHeight="1">
      <c r="F925" s="35"/>
      <c r="G925" s="35"/>
      <c r="H925" s="35"/>
      <c r="I925" s="35"/>
      <c r="J925" s="35"/>
      <c r="K925" s="35"/>
      <c r="L925" s="35"/>
      <c r="M925" s="35"/>
      <c r="N925" s="35"/>
      <c r="O925" s="35"/>
      <c r="P925" s="35"/>
      <c r="Q925" s="35"/>
      <c r="R925" s="35"/>
    </row>
    <row r="926" spans="6:18" ht="9.9499999999999993" customHeight="1">
      <c r="F926" s="35"/>
      <c r="G926" s="35"/>
      <c r="H926" s="35"/>
      <c r="I926" s="35"/>
      <c r="J926" s="35"/>
      <c r="K926" s="35"/>
      <c r="L926" s="35"/>
      <c r="M926" s="35"/>
      <c r="N926" s="35"/>
      <c r="O926" s="35"/>
      <c r="P926" s="35"/>
      <c r="Q926" s="35"/>
      <c r="R926" s="35"/>
    </row>
    <row r="927" spans="6:18" ht="9.9499999999999993" customHeight="1">
      <c r="F927" s="35"/>
      <c r="G927" s="35"/>
      <c r="H927" s="35"/>
      <c r="I927" s="35"/>
      <c r="J927" s="35"/>
      <c r="K927" s="35"/>
      <c r="L927" s="35"/>
      <c r="M927" s="35"/>
      <c r="N927" s="35"/>
      <c r="O927" s="35"/>
      <c r="P927" s="35"/>
      <c r="Q927" s="35"/>
      <c r="R927" s="35"/>
    </row>
    <row r="928" spans="6:18" ht="9.9499999999999993" customHeight="1">
      <c r="F928" s="35"/>
      <c r="G928" s="35"/>
      <c r="H928" s="35"/>
      <c r="I928" s="35"/>
      <c r="J928" s="35"/>
      <c r="K928" s="35"/>
      <c r="L928" s="35"/>
      <c r="M928" s="35"/>
      <c r="N928" s="35"/>
      <c r="O928" s="35"/>
      <c r="P928" s="35"/>
      <c r="Q928" s="35"/>
      <c r="R928" s="35"/>
    </row>
    <row r="929" spans="6:18" ht="9.9499999999999993" customHeight="1">
      <c r="F929" s="35"/>
      <c r="G929" s="35"/>
      <c r="H929" s="35"/>
      <c r="I929" s="35"/>
      <c r="J929" s="35"/>
      <c r="K929" s="35"/>
      <c r="L929" s="35"/>
      <c r="M929" s="35"/>
      <c r="N929" s="35"/>
      <c r="O929" s="35"/>
      <c r="P929" s="35"/>
      <c r="Q929" s="35"/>
      <c r="R929" s="35"/>
    </row>
    <row r="930" spans="6:18" ht="9.9499999999999993" customHeight="1">
      <c r="F930" s="35"/>
      <c r="G930" s="35"/>
      <c r="H930" s="35"/>
      <c r="I930" s="35"/>
      <c r="J930" s="35"/>
      <c r="K930" s="35"/>
      <c r="L930" s="35"/>
      <c r="M930" s="35"/>
      <c r="N930" s="35"/>
      <c r="O930" s="35"/>
      <c r="P930" s="35"/>
      <c r="Q930" s="35"/>
      <c r="R930" s="35"/>
    </row>
    <row r="931" spans="6:18" ht="9.9499999999999993" customHeight="1">
      <c r="F931" s="35"/>
      <c r="G931" s="35"/>
      <c r="H931" s="35"/>
      <c r="I931" s="35"/>
      <c r="J931" s="35"/>
      <c r="K931" s="35"/>
      <c r="L931" s="35"/>
      <c r="M931" s="35"/>
      <c r="N931" s="35"/>
      <c r="O931" s="35"/>
      <c r="P931" s="35"/>
      <c r="Q931" s="35"/>
      <c r="R931" s="35"/>
    </row>
    <row r="932" spans="6:18" ht="9.9499999999999993" customHeight="1">
      <c r="F932" s="35"/>
      <c r="G932" s="35"/>
      <c r="H932" s="35"/>
      <c r="I932" s="35"/>
      <c r="J932" s="35"/>
      <c r="K932" s="35"/>
      <c r="L932" s="35"/>
      <c r="M932" s="35"/>
      <c r="N932" s="35"/>
      <c r="O932" s="35"/>
      <c r="P932" s="35"/>
      <c r="Q932" s="35"/>
      <c r="R932" s="35"/>
    </row>
    <row r="933" spans="6:18" ht="9.9499999999999993" customHeight="1">
      <c r="F933" s="35"/>
      <c r="G933" s="35"/>
      <c r="H933" s="35"/>
      <c r="I933" s="35"/>
      <c r="J933" s="35"/>
      <c r="K933" s="35"/>
      <c r="L933" s="35"/>
      <c r="M933" s="35"/>
      <c r="N933" s="35"/>
      <c r="O933" s="35"/>
      <c r="P933" s="35"/>
      <c r="Q933" s="35"/>
      <c r="R933" s="35"/>
    </row>
    <row r="934" spans="6:18" ht="9.9499999999999993" customHeight="1">
      <c r="F934" s="35"/>
      <c r="G934" s="35"/>
      <c r="H934" s="35"/>
      <c r="I934" s="35"/>
      <c r="J934" s="35"/>
      <c r="K934" s="35"/>
      <c r="L934" s="35"/>
      <c r="M934" s="35"/>
      <c r="N934" s="35"/>
      <c r="O934" s="35"/>
      <c r="P934" s="35"/>
      <c r="Q934" s="35"/>
      <c r="R934" s="35"/>
    </row>
    <row r="935" spans="6:18" ht="9.9499999999999993" customHeight="1">
      <c r="F935" s="35"/>
      <c r="G935" s="35"/>
      <c r="H935" s="35"/>
      <c r="I935" s="35"/>
      <c r="J935" s="35"/>
      <c r="K935" s="35"/>
      <c r="L935" s="35"/>
      <c r="M935" s="35"/>
      <c r="N935" s="35"/>
      <c r="O935" s="35"/>
      <c r="P935" s="35"/>
      <c r="Q935" s="35"/>
      <c r="R935" s="35"/>
    </row>
    <row r="936" spans="6:18" ht="9.9499999999999993" customHeight="1">
      <c r="F936" s="35"/>
      <c r="G936" s="35"/>
      <c r="H936" s="35"/>
      <c r="I936" s="35"/>
      <c r="J936" s="35"/>
      <c r="K936" s="35"/>
      <c r="L936" s="35"/>
      <c r="M936" s="35"/>
      <c r="N936" s="35"/>
      <c r="O936" s="35"/>
      <c r="P936" s="35"/>
      <c r="Q936" s="35"/>
      <c r="R936" s="35"/>
    </row>
    <row r="937" spans="6:18" ht="9.9499999999999993" customHeight="1">
      <c r="F937" s="35"/>
      <c r="G937" s="35"/>
      <c r="H937" s="35"/>
      <c r="I937" s="35"/>
      <c r="J937" s="35"/>
      <c r="K937" s="35"/>
      <c r="L937" s="35"/>
      <c r="M937" s="35"/>
      <c r="N937" s="35"/>
      <c r="O937" s="35"/>
      <c r="P937" s="35"/>
      <c r="Q937" s="35"/>
      <c r="R937" s="35"/>
    </row>
    <row r="938" spans="6:18" ht="9.9499999999999993" customHeight="1">
      <c r="F938" s="35"/>
      <c r="G938" s="35"/>
      <c r="H938" s="35"/>
      <c r="I938" s="35"/>
      <c r="J938" s="35"/>
      <c r="K938" s="35"/>
      <c r="L938" s="35"/>
      <c r="M938" s="35"/>
      <c r="N938" s="35"/>
      <c r="O938" s="35"/>
      <c r="P938" s="35"/>
      <c r="Q938" s="35"/>
      <c r="R938" s="35"/>
    </row>
    <row r="939" spans="6:18" ht="9.9499999999999993" customHeight="1">
      <c r="F939" s="35"/>
      <c r="G939" s="35"/>
      <c r="H939" s="35"/>
      <c r="I939" s="35"/>
      <c r="J939" s="35"/>
      <c r="K939" s="35"/>
      <c r="L939" s="35"/>
      <c r="M939" s="35"/>
      <c r="N939" s="35"/>
      <c r="O939" s="35"/>
      <c r="P939" s="35"/>
      <c r="Q939" s="35"/>
      <c r="R939" s="35"/>
    </row>
    <row r="940" spans="6:18" ht="9.9499999999999993" customHeight="1">
      <c r="F940" s="35"/>
      <c r="G940" s="35"/>
      <c r="H940" s="35"/>
      <c r="I940" s="35"/>
      <c r="J940" s="35"/>
      <c r="K940" s="35"/>
      <c r="L940" s="35"/>
      <c r="M940" s="35"/>
      <c r="N940" s="35"/>
      <c r="O940" s="35"/>
      <c r="P940" s="35"/>
      <c r="Q940" s="35"/>
      <c r="R940" s="35"/>
    </row>
    <row r="941" spans="6:18" ht="9.9499999999999993" customHeight="1">
      <c r="F941" s="35"/>
      <c r="G941" s="35"/>
      <c r="H941" s="35"/>
      <c r="I941" s="35"/>
      <c r="J941" s="35"/>
      <c r="K941" s="35"/>
      <c r="L941" s="35"/>
      <c r="M941" s="35"/>
      <c r="N941" s="35"/>
      <c r="O941" s="35"/>
      <c r="P941" s="35"/>
      <c r="Q941" s="35"/>
      <c r="R941" s="35"/>
    </row>
    <row r="942" spans="6:18" ht="9.9499999999999993" customHeight="1">
      <c r="F942" s="35"/>
      <c r="G942" s="35"/>
      <c r="H942" s="35"/>
      <c r="I942" s="35"/>
      <c r="J942" s="35"/>
      <c r="K942" s="35"/>
      <c r="L942" s="35"/>
      <c r="M942" s="35"/>
      <c r="N942" s="35"/>
      <c r="O942" s="35"/>
      <c r="P942" s="35"/>
      <c r="Q942" s="35"/>
      <c r="R942" s="35"/>
    </row>
    <row r="943" spans="6:18" ht="9.9499999999999993" customHeight="1">
      <c r="F943" s="35"/>
      <c r="G943" s="35"/>
      <c r="H943" s="35"/>
      <c r="I943" s="35"/>
      <c r="J943" s="35"/>
      <c r="K943" s="35"/>
      <c r="L943" s="35"/>
      <c r="M943" s="35"/>
      <c r="N943" s="35"/>
      <c r="O943" s="35"/>
      <c r="P943" s="35"/>
      <c r="Q943" s="35"/>
      <c r="R943" s="35"/>
    </row>
    <row r="944" spans="6:18" ht="9.9499999999999993" customHeight="1">
      <c r="F944" s="35"/>
      <c r="G944" s="35"/>
      <c r="H944" s="35"/>
      <c r="I944" s="35"/>
      <c r="J944" s="35"/>
      <c r="K944" s="35"/>
      <c r="L944" s="35"/>
      <c r="M944" s="35"/>
      <c r="N944" s="35"/>
      <c r="O944" s="35"/>
      <c r="P944" s="35"/>
      <c r="Q944" s="35"/>
      <c r="R944" s="35"/>
    </row>
    <row r="945" spans="6:18" ht="9.9499999999999993" customHeight="1">
      <c r="F945" s="35"/>
      <c r="G945" s="35"/>
      <c r="H945" s="35"/>
      <c r="I945" s="35"/>
      <c r="J945" s="35"/>
      <c r="K945" s="35"/>
      <c r="L945" s="35"/>
      <c r="M945" s="35"/>
      <c r="N945" s="35"/>
      <c r="O945" s="35"/>
      <c r="P945" s="35"/>
      <c r="Q945" s="35"/>
      <c r="R945" s="35"/>
    </row>
    <row r="946" spans="6:18" ht="9.9499999999999993" customHeight="1">
      <c r="F946" s="35"/>
      <c r="G946" s="35"/>
      <c r="H946" s="35"/>
      <c r="I946" s="35"/>
      <c r="J946" s="35"/>
      <c r="K946" s="35"/>
      <c r="L946" s="35"/>
      <c r="M946" s="35"/>
      <c r="N946" s="35"/>
      <c r="O946" s="35"/>
      <c r="P946" s="35"/>
      <c r="Q946" s="35"/>
      <c r="R946" s="35"/>
    </row>
    <row r="947" spans="6:18" ht="9.9499999999999993" customHeight="1">
      <c r="F947" s="35"/>
      <c r="G947" s="35"/>
      <c r="H947" s="35"/>
      <c r="I947" s="35"/>
      <c r="J947" s="35"/>
      <c r="K947" s="35"/>
      <c r="L947" s="35"/>
      <c r="M947" s="35"/>
      <c r="N947" s="35"/>
      <c r="O947" s="35"/>
      <c r="P947" s="35"/>
      <c r="Q947" s="35"/>
      <c r="R947" s="35"/>
    </row>
    <row r="948" spans="6:18" ht="9.9499999999999993" customHeight="1">
      <c r="F948" s="35"/>
      <c r="G948" s="35"/>
      <c r="H948" s="35"/>
      <c r="I948" s="35"/>
      <c r="J948" s="35"/>
      <c r="K948" s="35"/>
      <c r="L948" s="35"/>
      <c r="M948" s="35"/>
      <c r="N948" s="35"/>
      <c r="O948" s="35"/>
      <c r="P948" s="35"/>
      <c r="Q948" s="35"/>
      <c r="R948" s="35"/>
    </row>
    <row r="949" spans="6:18" ht="9.9499999999999993" customHeight="1">
      <c r="F949" s="35"/>
      <c r="G949" s="35"/>
      <c r="H949" s="35"/>
      <c r="I949" s="35"/>
      <c r="J949" s="35"/>
      <c r="K949" s="35"/>
      <c r="L949" s="35"/>
      <c r="M949" s="35"/>
      <c r="N949" s="35"/>
      <c r="O949" s="35"/>
      <c r="P949" s="35"/>
      <c r="Q949" s="35"/>
      <c r="R949" s="35"/>
    </row>
    <row r="950" spans="6:18" ht="9.9499999999999993" customHeight="1">
      <c r="F950" s="35"/>
      <c r="G950" s="35"/>
      <c r="H950" s="35"/>
      <c r="I950" s="35"/>
      <c r="J950" s="35"/>
      <c r="K950" s="35"/>
      <c r="L950" s="35"/>
      <c r="M950" s="35"/>
      <c r="N950" s="35"/>
      <c r="O950" s="35"/>
      <c r="P950" s="35"/>
      <c r="Q950" s="35"/>
      <c r="R950" s="35"/>
    </row>
    <row r="951" spans="6:18" ht="9.9499999999999993" customHeight="1">
      <c r="F951" s="35"/>
      <c r="G951" s="35"/>
      <c r="H951" s="35"/>
      <c r="I951" s="35"/>
      <c r="J951" s="35"/>
      <c r="K951" s="35"/>
      <c r="L951" s="35"/>
      <c r="M951" s="35"/>
      <c r="N951" s="35"/>
      <c r="O951" s="35"/>
      <c r="P951" s="35"/>
      <c r="Q951" s="35"/>
      <c r="R951" s="35"/>
    </row>
    <row r="952" spans="6:18" ht="9.9499999999999993" customHeight="1">
      <c r="F952" s="35"/>
      <c r="G952" s="35"/>
      <c r="H952" s="35"/>
      <c r="I952" s="35"/>
      <c r="J952" s="35"/>
      <c r="K952" s="35"/>
      <c r="L952" s="35"/>
      <c r="M952" s="35"/>
      <c r="N952" s="35"/>
      <c r="O952" s="35"/>
      <c r="P952" s="35"/>
      <c r="Q952" s="35"/>
      <c r="R952" s="35"/>
    </row>
    <row r="953" spans="6:18" ht="9.9499999999999993" customHeight="1">
      <c r="F953" s="35"/>
      <c r="G953" s="35"/>
      <c r="H953" s="35"/>
      <c r="I953" s="35"/>
      <c r="J953" s="35"/>
      <c r="K953" s="35"/>
      <c r="L953" s="35"/>
      <c r="M953" s="35"/>
      <c r="N953" s="35"/>
      <c r="O953" s="35"/>
      <c r="P953" s="35"/>
      <c r="Q953" s="35"/>
      <c r="R953" s="35"/>
    </row>
    <row r="954" spans="6:18" ht="9.9499999999999993" customHeight="1">
      <c r="F954" s="35"/>
      <c r="G954" s="35"/>
      <c r="H954" s="35"/>
      <c r="I954" s="35"/>
      <c r="J954" s="35"/>
      <c r="K954" s="35"/>
      <c r="L954" s="35"/>
      <c r="M954" s="35"/>
      <c r="N954" s="35"/>
      <c r="O954" s="35"/>
      <c r="P954" s="35"/>
      <c r="Q954" s="35"/>
      <c r="R954" s="35"/>
    </row>
    <row r="955" spans="6:18" ht="9.9499999999999993" customHeight="1">
      <c r="F955" s="35"/>
      <c r="G955" s="35"/>
      <c r="H955" s="35"/>
      <c r="I955" s="35"/>
      <c r="J955" s="35"/>
      <c r="K955" s="35"/>
      <c r="L955" s="35"/>
      <c r="M955" s="35"/>
      <c r="N955" s="35"/>
      <c r="O955" s="35"/>
      <c r="P955" s="35"/>
      <c r="Q955" s="35"/>
      <c r="R955" s="35"/>
    </row>
    <row r="956" spans="6:18" ht="9.9499999999999993" customHeight="1">
      <c r="F956" s="35"/>
      <c r="G956" s="35"/>
      <c r="H956" s="35"/>
      <c r="I956" s="35"/>
      <c r="J956" s="35"/>
      <c r="K956" s="35"/>
      <c r="L956" s="35"/>
      <c r="M956" s="35"/>
      <c r="N956" s="35"/>
      <c r="O956" s="35"/>
      <c r="P956" s="35"/>
      <c r="Q956" s="35"/>
      <c r="R956" s="35"/>
    </row>
    <row r="957" spans="6:18" ht="9.9499999999999993" customHeight="1">
      <c r="F957" s="35"/>
      <c r="G957" s="35"/>
      <c r="H957" s="35"/>
      <c r="I957" s="35"/>
      <c r="J957" s="35"/>
      <c r="K957" s="35"/>
      <c r="L957" s="35"/>
      <c r="M957" s="35"/>
      <c r="N957" s="35"/>
      <c r="O957" s="35"/>
      <c r="P957" s="35"/>
      <c r="Q957" s="35"/>
      <c r="R957" s="35"/>
    </row>
    <row r="958" spans="6:18" ht="9.9499999999999993" customHeight="1">
      <c r="F958" s="35"/>
      <c r="G958" s="35"/>
      <c r="H958" s="35"/>
      <c r="I958" s="35"/>
      <c r="J958" s="35"/>
      <c r="K958" s="35"/>
      <c r="L958" s="35"/>
      <c r="M958" s="35"/>
      <c r="N958" s="35"/>
      <c r="O958" s="35"/>
      <c r="P958" s="35"/>
      <c r="Q958" s="35"/>
      <c r="R958" s="35"/>
    </row>
    <row r="959" spans="6:18" ht="9.9499999999999993" customHeight="1">
      <c r="F959" s="35"/>
      <c r="G959" s="35"/>
      <c r="H959" s="35"/>
      <c r="I959" s="35"/>
      <c r="J959" s="35"/>
      <c r="K959" s="35"/>
      <c r="L959" s="35"/>
      <c r="M959" s="35"/>
      <c r="N959" s="35"/>
      <c r="O959" s="35"/>
      <c r="P959" s="35"/>
      <c r="Q959" s="35"/>
      <c r="R959" s="35"/>
    </row>
    <row r="960" spans="6:18" ht="9.9499999999999993" customHeight="1">
      <c r="F960" s="35"/>
      <c r="G960" s="35"/>
      <c r="H960" s="35"/>
      <c r="I960" s="35"/>
      <c r="J960" s="35"/>
      <c r="K960" s="35"/>
      <c r="L960" s="35"/>
      <c r="M960" s="35"/>
      <c r="N960" s="35"/>
      <c r="O960" s="35"/>
      <c r="P960" s="35"/>
      <c r="Q960" s="35"/>
      <c r="R960" s="35"/>
    </row>
    <row r="961" spans="6:18" ht="9.9499999999999993" customHeight="1">
      <c r="F961" s="35"/>
      <c r="G961" s="35"/>
      <c r="H961" s="35"/>
      <c r="I961" s="35"/>
      <c r="J961" s="35"/>
      <c r="K961" s="35"/>
      <c r="L961" s="35"/>
      <c r="M961" s="35"/>
      <c r="N961" s="35"/>
      <c r="O961" s="35"/>
      <c r="P961" s="35"/>
      <c r="Q961" s="35"/>
      <c r="R961" s="35"/>
    </row>
    <row r="962" spans="6:18" ht="9.9499999999999993" customHeight="1">
      <c r="F962" s="35"/>
      <c r="G962" s="35"/>
      <c r="H962" s="35"/>
      <c r="I962" s="35"/>
      <c r="J962" s="35"/>
      <c r="K962" s="35"/>
      <c r="L962" s="35"/>
      <c r="M962" s="35"/>
      <c r="N962" s="35"/>
      <c r="O962" s="35"/>
      <c r="P962" s="35"/>
      <c r="Q962" s="35"/>
      <c r="R962" s="35"/>
    </row>
    <row r="963" spans="6:18" ht="9.9499999999999993" customHeight="1">
      <c r="F963" s="35"/>
      <c r="G963" s="35"/>
      <c r="H963" s="35"/>
      <c r="I963" s="35"/>
      <c r="J963" s="35"/>
      <c r="K963" s="35"/>
      <c r="L963" s="35"/>
      <c r="M963" s="35"/>
      <c r="N963" s="35"/>
      <c r="O963" s="35"/>
      <c r="P963" s="35"/>
      <c r="Q963" s="35"/>
      <c r="R963" s="35"/>
    </row>
    <row r="964" spans="6:18" ht="9.9499999999999993" customHeight="1">
      <c r="F964" s="35"/>
      <c r="G964" s="35"/>
      <c r="H964" s="35"/>
      <c r="I964" s="35"/>
      <c r="J964" s="35"/>
      <c r="K964" s="35"/>
      <c r="L964" s="35"/>
      <c r="M964" s="35"/>
      <c r="N964" s="35"/>
      <c r="O964" s="35"/>
      <c r="P964" s="35"/>
      <c r="Q964" s="35"/>
      <c r="R964" s="35"/>
    </row>
    <row r="965" spans="6:18" ht="9.9499999999999993" customHeight="1">
      <c r="F965" s="35"/>
      <c r="G965" s="35"/>
      <c r="H965" s="35"/>
      <c r="I965" s="35"/>
      <c r="J965" s="35"/>
      <c r="K965" s="35"/>
      <c r="L965" s="35"/>
      <c r="M965" s="35"/>
      <c r="N965" s="35"/>
      <c r="O965" s="35"/>
      <c r="P965" s="35"/>
      <c r="Q965" s="35"/>
      <c r="R965" s="35"/>
    </row>
    <row r="966" spans="6:18" ht="9.9499999999999993" customHeight="1">
      <c r="F966" s="35"/>
      <c r="G966" s="35"/>
      <c r="H966" s="35"/>
      <c r="I966" s="35"/>
      <c r="J966" s="35"/>
      <c r="K966" s="35"/>
      <c r="L966" s="35"/>
      <c r="M966" s="35"/>
      <c r="N966" s="35"/>
      <c r="O966" s="35"/>
      <c r="P966" s="35"/>
      <c r="Q966" s="35"/>
      <c r="R966" s="35"/>
    </row>
    <row r="967" spans="6:18" ht="9.9499999999999993" customHeight="1">
      <c r="F967" s="35"/>
      <c r="G967" s="35"/>
      <c r="H967" s="35"/>
      <c r="I967" s="35"/>
      <c r="J967" s="35"/>
      <c r="K967" s="35"/>
      <c r="L967" s="35"/>
      <c r="M967" s="35"/>
      <c r="N967" s="35"/>
      <c r="O967" s="35"/>
      <c r="P967" s="35"/>
      <c r="Q967" s="35"/>
      <c r="R967" s="35"/>
    </row>
    <row r="968" spans="6:18" ht="9.9499999999999993" customHeight="1">
      <c r="F968" s="35"/>
      <c r="G968" s="35"/>
      <c r="H968" s="35"/>
      <c r="I968" s="35"/>
      <c r="J968" s="35"/>
      <c r="K968" s="35"/>
      <c r="L968" s="35"/>
      <c r="M968" s="35"/>
      <c r="N968" s="35"/>
      <c r="O968" s="35"/>
      <c r="P968" s="35"/>
      <c r="Q968" s="35"/>
      <c r="R968" s="35"/>
    </row>
    <row r="969" spans="6:18" ht="9.9499999999999993" customHeight="1">
      <c r="F969" s="35"/>
      <c r="G969" s="35"/>
      <c r="H969" s="35"/>
      <c r="I969" s="35"/>
      <c r="J969" s="35"/>
      <c r="K969" s="35"/>
      <c r="L969" s="35"/>
      <c r="M969" s="35"/>
      <c r="N969" s="35"/>
      <c r="O969" s="35"/>
      <c r="P969" s="35"/>
      <c r="Q969" s="35"/>
      <c r="R969" s="35"/>
    </row>
    <row r="970" spans="6:18" ht="9.9499999999999993" customHeight="1">
      <c r="F970" s="35"/>
      <c r="G970" s="35"/>
      <c r="H970" s="35"/>
      <c r="I970" s="35"/>
      <c r="J970" s="35"/>
      <c r="K970" s="35"/>
      <c r="L970" s="35"/>
      <c r="M970" s="35"/>
      <c r="N970" s="35"/>
      <c r="O970" s="35"/>
      <c r="P970" s="35"/>
      <c r="Q970" s="35"/>
      <c r="R970" s="35"/>
    </row>
    <row r="971" spans="6:18" ht="9.9499999999999993" customHeight="1">
      <c r="F971" s="35"/>
      <c r="G971" s="35"/>
      <c r="H971" s="35"/>
      <c r="I971" s="35"/>
      <c r="J971" s="35"/>
      <c r="K971" s="35"/>
      <c r="L971" s="35"/>
      <c r="M971" s="35"/>
      <c r="N971" s="35"/>
      <c r="O971" s="35"/>
      <c r="P971" s="35"/>
      <c r="Q971" s="35"/>
      <c r="R971" s="35"/>
    </row>
    <row r="972" spans="6:18" ht="9.9499999999999993" customHeight="1">
      <c r="F972" s="35"/>
      <c r="G972" s="35"/>
      <c r="H972" s="35"/>
      <c r="I972" s="35"/>
      <c r="J972" s="35"/>
      <c r="K972" s="35"/>
      <c r="L972" s="35"/>
      <c r="M972" s="35"/>
      <c r="N972" s="35"/>
      <c r="O972" s="35"/>
      <c r="P972" s="35"/>
      <c r="Q972" s="35"/>
      <c r="R972" s="35"/>
    </row>
    <row r="973" spans="6:18" ht="9.9499999999999993" customHeight="1">
      <c r="F973" s="35"/>
      <c r="G973" s="35"/>
      <c r="H973" s="35"/>
      <c r="I973" s="35"/>
      <c r="J973" s="35"/>
      <c r="K973" s="35"/>
      <c r="L973" s="35"/>
      <c r="M973" s="35"/>
      <c r="N973" s="35"/>
      <c r="O973" s="35"/>
      <c r="P973" s="35"/>
      <c r="Q973" s="35"/>
      <c r="R973" s="35"/>
    </row>
    <row r="974" spans="6:18" ht="9.9499999999999993" customHeight="1">
      <c r="F974" s="35"/>
      <c r="G974" s="35"/>
      <c r="H974" s="35"/>
      <c r="I974" s="35"/>
      <c r="J974" s="35"/>
      <c r="K974" s="35"/>
      <c r="L974" s="35"/>
      <c r="M974" s="35"/>
      <c r="N974" s="35"/>
      <c r="O974" s="35"/>
      <c r="P974" s="35"/>
      <c r="Q974" s="35"/>
      <c r="R974" s="35"/>
    </row>
    <row r="975" spans="6:18" ht="9.9499999999999993" customHeight="1">
      <c r="F975" s="35"/>
      <c r="G975" s="35"/>
      <c r="H975" s="35"/>
      <c r="I975" s="35"/>
      <c r="J975" s="35"/>
      <c r="K975" s="35"/>
      <c r="L975" s="35"/>
      <c r="M975" s="35"/>
      <c r="N975" s="35"/>
      <c r="O975" s="35"/>
      <c r="P975" s="35"/>
      <c r="Q975" s="35"/>
      <c r="R975" s="35"/>
    </row>
    <row r="976" spans="6:18" ht="9.9499999999999993" customHeight="1">
      <c r="F976" s="35"/>
      <c r="G976" s="35"/>
      <c r="H976" s="35"/>
      <c r="I976" s="35"/>
      <c r="J976" s="35"/>
      <c r="K976" s="35"/>
      <c r="L976" s="35"/>
      <c r="M976" s="35"/>
      <c r="N976" s="35"/>
      <c r="O976" s="35"/>
      <c r="P976" s="35"/>
      <c r="Q976" s="35"/>
      <c r="R976" s="35"/>
    </row>
    <row r="977" spans="6:18" ht="9.9499999999999993" customHeight="1">
      <c r="F977" s="35"/>
      <c r="G977" s="35"/>
      <c r="H977" s="35"/>
      <c r="I977" s="35"/>
      <c r="J977" s="35"/>
      <c r="K977" s="35"/>
      <c r="L977" s="35"/>
      <c r="M977" s="35"/>
      <c r="N977" s="35"/>
      <c r="O977" s="35"/>
      <c r="P977" s="35"/>
      <c r="Q977" s="35"/>
      <c r="R977" s="35"/>
    </row>
    <row r="978" spans="6:18" ht="9.9499999999999993" customHeight="1">
      <c r="F978" s="35"/>
      <c r="G978" s="35"/>
      <c r="H978" s="35"/>
      <c r="I978" s="35"/>
      <c r="J978" s="35"/>
      <c r="K978" s="35"/>
      <c r="L978" s="35"/>
      <c r="M978" s="35"/>
      <c r="N978" s="35"/>
      <c r="O978" s="35"/>
      <c r="P978" s="35"/>
      <c r="Q978" s="35"/>
      <c r="R978" s="35"/>
    </row>
    <row r="979" spans="6:18" ht="9.9499999999999993" customHeight="1">
      <c r="F979" s="35"/>
      <c r="G979" s="35"/>
      <c r="H979" s="35"/>
      <c r="I979" s="35"/>
      <c r="J979" s="35"/>
      <c r="K979" s="35"/>
      <c r="L979" s="35"/>
      <c r="M979" s="35"/>
      <c r="N979" s="35"/>
      <c r="O979" s="35"/>
      <c r="P979" s="35"/>
      <c r="Q979" s="35"/>
      <c r="R979" s="35"/>
    </row>
    <row r="980" spans="6:18" ht="9.9499999999999993" customHeight="1">
      <c r="F980" s="35"/>
      <c r="G980" s="35"/>
      <c r="H980" s="35"/>
      <c r="I980" s="35"/>
      <c r="J980" s="35"/>
      <c r="K980" s="35"/>
      <c r="L980" s="35"/>
      <c r="M980" s="35"/>
      <c r="N980" s="35"/>
      <c r="O980" s="35"/>
      <c r="P980" s="35"/>
      <c r="Q980" s="35"/>
      <c r="R980" s="35"/>
    </row>
    <row r="981" spans="6:18" ht="9.9499999999999993" customHeight="1">
      <c r="F981" s="35"/>
      <c r="G981" s="35"/>
      <c r="H981" s="35"/>
      <c r="I981" s="35"/>
      <c r="J981" s="35"/>
      <c r="K981" s="35"/>
      <c r="L981" s="35"/>
      <c r="M981" s="35"/>
      <c r="N981" s="35"/>
      <c r="O981" s="35"/>
      <c r="P981" s="35"/>
      <c r="Q981" s="35"/>
      <c r="R981" s="35"/>
    </row>
    <row r="982" spans="6:18" ht="9.9499999999999993" customHeight="1">
      <c r="F982" s="35"/>
      <c r="G982" s="35"/>
      <c r="H982" s="35"/>
      <c r="I982" s="35"/>
      <c r="J982" s="35"/>
      <c r="K982" s="35"/>
      <c r="L982" s="35"/>
      <c r="M982" s="35"/>
      <c r="N982" s="35"/>
      <c r="O982" s="35"/>
      <c r="P982" s="35"/>
      <c r="Q982" s="35"/>
      <c r="R982" s="35"/>
    </row>
    <row r="983" spans="6:18" ht="9.9499999999999993" customHeight="1">
      <c r="F983" s="35"/>
      <c r="G983" s="35"/>
      <c r="H983" s="35"/>
      <c r="I983" s="35"/>
      <c r="J983" s="35"/>
      <c r="K983" s="35"/>
      <c r="L983" s="35"/>
      <c r="M983" s="35"/>
      <c r="N983" s="35"/>
      <c r="O983" s="35"/>
      <c r="P983" s="35"/>
      <c r="Q983" s="35"/>
      <c r="R983" s="35"/>
    </row>
    <row r="984" spans="6:18" ht="9.9499999999999993" customHeight="1">
      <c r="F984" s="35"/>
      <c r="G984" s="35"/>
      <c r="H984" s="35"/>
      <c r="I984" s="35"/>
      <c r="J984" s="35"/>
      <c r="K984" s="35"/>
      <c r="L984" s="35"/>
      <c r="M984" s="35"/>
      <c r="N984" s="35"/>
      <c r="O984" s="35"/>
      <c r="P984" s="35"/>
      <c r="Q984" s="35"/>
      <c r="R984" s="35"/>
    </row>
    <row r="985" spans="6:18" ht="9.9499999999999993" customHeight="1">
      <c r="F985" s="35"/>
      <c r="G985" s="35"/>
      <c r="H985" s="35"/>
      <c r="I985" s="35"/>
      <c r="J985" s="35"/>
      <c r="K985" s="35"/>
      <c r="L985" s="35"/>
      <c r="M985" s="35"/>
      <c r="N985" s="35"/>
      <c r="O985" s="35"/>
      <c r="P985" s="35"/>
      <c r="Q985" s="35"/>
      <c r="R985" s="35"/>
    </row>
    <row r="986" spans="6:18" ht="9.9499999999999993" customHeight="1">
      <c r="F986" s="35"/>
      <c r="G986" s="35"/>
      <c r="H986" s="35"/>
      <c r="I986" s="35"/>
      <c r="J986" s="35"/>
      <c r="K986" s="35"/>
      <c r="L986" s="35"/>
      <c r="M986" s="35"/>
      <c r="N986" s="35"/>
      <c r="O986" s="35"/>
      <c r="P986" s="35"/>
      <c r="Q986" s="35"/>
      <c r="R986" s="35"/>
    </row>
    <row r="987" spans="6:18" ht="9.9499999999999993" customHeight="1">
      <c r="F987" s="35"/>
      <c r="G987" s="35"/>
      <c r="H987" s="35"/>
      <c r="I987" s="35"/>
      <c r="J987" s="35"/>
      <c r="K987" s="35"/>
      <c r="L987" s="35"/>
      <c r="M987" s="35"/>
      <c r="N987" s="35"/>
      <c r="O987" s="35"/>
      <c r="P987" s="35"/>
      <c r="Q987" s="35"/>
      <c r="R987" s="35"/>
    </row>
    <row r="988" spans="6:18" ht="9.9499999999999993" customHeight="1">
      <c r="F988" s="35"/>
      <c r="G988" s="35"/>
      <c r="H988" s="35"/>
      <c r="I988" s="35"/>
      <c r="J988" s="35"/>
      <c r="K988" s="35"/>
      <c r="L988" s="35"/>
      <c r="M988" s="35"/>
      <c r="N988" s="35"/>
      <c r="O988" s="35"/>
      <c r="P988" s="35"/>
      <c r="Q988" s="35"/>
      <c r="R988" s="35"/>
    </row>
    <row r="989" spans="6:18" ht="9.9499999999999993" customHeight="1">
      <c r="F989" s="35"/>
      <c r="G989" s="35"/>
      <c r="H989" s="35"/>
      <c r="I989" s="35"/>
      <c r="J989" s="35"/>
      <c r="K989" s="35"/>
      <c r="L989" s="35"/>
      <c r="M989" s="35"/>
      <c r="N989" s="35"/>
      <c r="O989" s="35"/>
      <c r="P989" s="35"/>
      <c r="Q989" s="35"/>
      <c r="R989" s="35"/>
    </row>
    <row r="990" spans="6:18" ht="9.9499999999999993" customHeight="1">
      <c r="F990" s="35"/>
      <c r="G990" s="35"/>
      <c r="H990" s="35"/>
      <c r="I990" s="35"/>
      <c r="J990" s="35"/>
      <c r="K990" s="35"/>
      <c r="L990" s="35"/>
      <c r="M990" s="35"/>
      <c r="N990" s="35"/>
      <c r="O990" s="35"/>
      <c r="P990" s="35"/>
      <c r="Q990" s="35"/>
      <c r="R990" s="35"/>
    </row>
    <row r="991" spans="6:18" ht="9.9499999999999993" customHeight="1">
      <c r="F991" s="35"/>
      <c r="G991" s="35"/>
      <c r="H991" s="35"/>
      <c r="I991" s="35"/>
      <c r="J991" s="35"/>
      <c r="K991" s="35"/>
      <c r="L991" s="35"/>
      <c r="M991" s="35"/>
      <c r="N991" s="35"/>
      <c r="O991" s="35"/>
      <c r="P991" s="35"/>
      <c r="Q991" s="35"/>
      <c r="R991" s="35"/>
    </row>
    <row r="992" spans="6:18" ht="9.9499999999999993" customHeight="1">
      <c r="F992" s="35"/>
      <c r="G992" s="35"/>
      <c r="H992" s="35"/>
      <c r="I992" s="35"/>
      <c r="J992" s="35"/>
      <c r="K992" s="35"/>
      <c r="L992" s="35"/>
      <c r="M992" s="35"/>
      <c r="N992" s="35"/>
      <c r="O992" s="35"/>
      <c r="P992" s="35"/>
      <c r="Q992" s="35"/>
      <c r="R992" s="35"/>
    </row>
    <row r="993" spans="6:18" ht="9.9499999999999993" customHeight="1">
      <c r="F993" s="35"/>
      <c r="G993" s="35"/>
      <c r="H993" s="35"/>
      <c r="I993" s="35"/>
      <c r="J993" s="35"/>
      <c r="K993" s="35"/>
      <c r="L993" s="35"/>
      <c r="M993" s="35"/>
      <c r="N993" s="35"/>
      <c r="O993" s="35"/>
      <c r="P993" s="35"/>
      <c r="Q993" s="35"/>
      <c r="R993" s="35"/>
    </row>
    <row r="994" spans="6:18" ht="9.9499999999999993" customHeight="1">
      <c r="F994" s="35"/>
      <c r="G994" s="35"/>
      <c r="H994" s="35"/>
      <c r="I994" s="35"/>
      <c r="J994" s="35"/>
      <c r="K994" s="35"/>
      <c r="L994" s="35"/>
      <c r="M994" s="35"/>
      <c r="N994" s="35"/>
      <c r="O994" s="35"/>
      <c r="P994" s="35"/>
      <c r="Q994" s="35"/>
      <c r="R994" s="35"/>
    </row>
    <row r="995" spans="6:18" ht="9.9499999999999993" customHeight="1">
      <c r="F995" s="35"/>
      <c r="G995" s="35"/>
      <c r="H995" s="35"/>
      <c r="I995" s="35"/>
      <c r="J995" s="35"/>
      <c r="K995" s="35"/>
      <c r="L995" s="35"/>
      <c r="M995" s="35"/>
      <c r="N995" s="35"/>
      <c r="O995" s="35"/>
      <c r="P995" s="35"/>
      <c r="Q995" s="35"/>
      <c r="R995" s="35"/>
    </row>
    <row r="996" spans="6:18" ht="9.9499999999999993" customHeight="1">
      <c r="F996" s="35"/>
      <c r="G996" s="35"/>
      <c r="H996" s="35"/>
      <c r="I996" s="35"/>
      <c r="J996" s="35"/>
      <c r="K996" s="35"/>
      <c r="L996" s="35"/>
      <c r="M996" s="35"/>
      <c r="N996" s="35"/>
      <c r="O996" s="35"/>
      <c r="P996" s="35"/>
      <c r="Q996" s="35"/>
      <c r="R996" s="35"/>
    </row>
    <row r="997" spans="6:18" ht="9.9499999999999993" customHeight="1">
      <c r="F997" s="35"/>
      <c r="G997" s="35"/>
      <c r="H997" s="35"/>
      <c r="I997" s="35"/>
      <c r="J997" s="35"/>
      <c r="K997" s="35"/>
      <c r="L997" s="35"/>
      <c r="M997" s="35"/>
      <c r="N997" s="35"/>
      <c r="O997" s="35"/>
      <c r="P997" s="35"/>
      <c r="Q997" s="35"/>
      <c r="R997" s="35"/>
    </row>
    <row r="998" spans="6:18" ht="9.9499999999999993" customHeight="1">
      <c r="F998" s="35"/>
      <c r="G998" s="35"/>
      <c r="H998" s="35"/>
      <c r="I998" s="35"/>
      <c r="J998" s="35"/>
      <c r="K998" s="35"/>
      <c r="L998" s="35"/>
      <c r="M998" s="35"/>
      <c r="N998" s="35"/>
      <c r="O998" s="35"/>
      <c r="P998" s="35"/>
      <c r="Q998" s="35"/>
      <c r="R998" s="35"/>
    </row>
    <row r="999" spans="6:18" ht="9.9499999999999993" customHeight="1">
      <c r="F999" s="35"/>
      <c r="G999" s="35"/>
      <c r="H999" s="35"/>
      <c r="I999" s="35"/>
      <c r="J999" s="35"/>
      <c r="K999" s="35"/>
      <c r="L999" s="35"/>
      <c r="M999" s="35"/>
      <c r="N999" s="35"/>
      <c r="O999" s="35"/>
      <c r="P999" s="35"/>
      <c r="Q999" s="35"/>
      <c r="R999" s="35"/>
    </row>
    <row r="1000" spans="6:18" ht="9.9499999999999993" customHeight="1">
      <c r="F1000" s="35"/>
      <c r="G1000" s="35"/>
      <c r="H1000" s="35"/>
      <c r="I1000" s="35"/>
      <c r="J1000" s="35"/>
      <c r="K1000" s="35"/>
      <c r="L1000" s="35"/>
      <c r="M1000" s="35"/>
      <c r="N1000" s="35"/>
      <c r="O1000" s="35"/>
      <c r="P1000" s="35"/>
      <c r="Q1000" s="35"/>
      <c r="R1000" s="35"/>
    </row>
    <row r="1001" spans="6:18" ht="9.9499999999999993" customHeight="1">
      <c r="F1001" s="35"/>
      <c r="G1001" s="35"/>
      <c r="H1001" s="35"/>
      <c r="I1001" s="35"/>
      <c r="J1001" s="35"/>
      <c r="K1001" s="35"/>
      <c r="L1001" s="35"/>
      <c r="M1001" s="35"/>
      <c r="N1001" s="35"/>
      <c r="O1001" s="35"/>
      <c r="P1001" s="35"/>
      <c r="Q1001" s="35"/>
      <c r="R1001" s="35"/>
    </row>
    <row r="1002" spans="6:18" ht="9.9499999999999993" customHeight="1">
      <c r="F1002" s="35"/>
      <c r="G1002" s="35"/>
      <c r="H1002" s="35"/>
      <c r="I1002" s="35"/>
      <c r="J1002" s="35"/>
      <c r="K1002" s="35"/>
      <c r="L1002" s="35"/>
      <c r="M1002" s="35"/>
      <c r="N1002" s="35"/>
      <c r="O1002" s="35"/>
      <c r="P1002" s="35"/>
      <c r="Q1002" s="35"/>
      <c r="R1002" s="35"/>
    </row>
    <row r="1003" spans="6:18" ht="9.9499999999999993" customHeight="1">
      <c r="F1003" s="35"/>
      <c r="G1003" s="35"/>
      <c r="H1003" s="35"/>
      <c r="I1003" s="35"/>
      <c r="J1003" s="35"/>
      <c r="K1003" s="35"/>
      <c r="L1003" s="35"/>
      <c r="M1003" s="35"/>
      <c r="N1003" s="35"/>
      <c r="O1003" s="35"/>
      <c r="P1003" s="35"/>
      <c r="Q1003" s="35"/>
      <c r="R1003" s="35"/>
    </row>
    <row r="1004" spans="6:18" ht="9.9499999999999993" customHeight="1">
      <c r="F1004" s="35"/>
      <c r="G1004" s="35"/>
      <c r="H1004" s="35"/>
      <c r="I1004" s="35"/>
      <c r="J1004" s="35"/>
      <c r="K1004" s="35"/>
      <c r="L1004" s="35"/>
      <c r="M1004" s="35"/>
      <c r="N1004" s="35"/>
      <c r="O1004" s="35"/>
      <c r="P1004" s="35"/>
      <c r="Q1004" s="35"/>
      <c r="R1004" s="35"/>
    </row>
    <row r="1005" spans="6:18" ht="9.9499999999999993" customHeight="1">
      <c r="F1005" s="35"/>
      <c r="G1005" s="35"/>
      <c r="H1005" s="35"/>
      <c r="I1005" s="35"/>
      <c r="J1005" s="35"/>
      <c r="K1005" s="35"/>
      <c r="L1005" s="35"/>
      <c r="M1005" s="35"/>
      <c r="N1005" s="35"/>
      <c r="O1005" s="35"/>
      <c r="P1005" s="35"/>
      <c r="Q1005" s="35"/>
      <c r="R1005" s="35"/>
    </row>
    <row r="1006" spans="6:18" ht="9.9499999999999993" customHeight="1">
      <c r="F1006" s="35"/>
      <c r="G1006" s="35"/>
      <c r="H1006" s="35"/>
      <c r="I1006" s="35"/>
      <c r="J1006" s="35"/>
      <c r="K1006" s="35"/>
      <c r="L1006" s="35"/>
      <c r="M1006" s="35"/>
      <c r="N1006" s="35"/>
      <c r="O1006" s="35"/>
      <c r="P1006" s="35"/>
      <c r="Q1006" s="35"/>
      <c r="R1006" s="35"/>
    </row>
    <row r="1007" spans="6:18" ht="9.9499999999999993" customHeight="1">
      <c r="F1007" s="35"/>
      <c r="G1007" s="35"/>
      <c r="H1007" s="35"/>
      <c r="I1007" s="35"/>
      <c r="J1007" s="35"/>
      <c r="K1007" s="35"/>
      <c r="L1007" s="35"/>
      <c r="M1007" s="35"/>
      <c r="N1007" s="35"/>
      <c r="O1007" s="35"/>
      <c r="P1007" s="35"/>
      <c r="Q1007" s="35"/>
      <c r="R1007" s="35"/>
    </row>
    <row r="1008" spans="6:18" ht="9.9499999999999993" customHeight="1">
      <c r="F1008" s="35"/>
      <c r="G1008" s="35"/>
      <c r="H1008" s="35"/>
      <c r="I1008" s="35"/>
      <c r="J1008" s="35"/>
      <c r="K1008" s="35"/>
      <c r="L1008" s="35"/>
      <c r="M1008" s="35"/>
      <c r="N1008" s="35"/>
      <c r="O1008" s="35"/>
      <c r="P1008" s="35"/>
      <c r="Q1008" s="35"/>
      <c r="R1008" s="35"/>
    </row>
    <row r="1009" spans="6:18" ht="9.9499999999999993" customHeight="1">
      <c r="F1009" s="35"/>
      <c r="G1009" s="35"/>
      <c r="H1009" s="35"/>
      <c r="I1009" s="35"/>
      <c r="J1009" s="35"/>
      <c r="K1009" s="35"/>
      <c r="L1009" s="35"/>
      <c r="M1009" s="35"/>
      <c r="N1009" s="35"/>
      <c r="O1009" s="35"/>
      <c r="P1009" s="35"/>
      <c r="Q1009" s="35"/>
      <c r="R1009" s="35"/>
    </row>
    <row r="1010" spans="6:18" ht="9.9499999999999993" customHeight="1">
      <c r="F1010" s="35"/>
      <c r="G1010" s="35"/>
      <c r="H1010" s="35"/>
      <c r="I1010" s="35"/>
      <c r="J1010" s="35"/>
      <c r="K1010" s="35"/>
      <c r="L1010" s="35"/>
      <c r="M1010" s="35"/>
      <c r="N1010" s="35"/>
      <c r="O1010" s="35"/>
      <c r="P1010" s="35"/>
      <c r="Q1010" s="35"/>
      <c r="R1010" s="35"/>
    </row>
    <row r="1011" spans="6:18" ht="9.9499999999999993" customHeight="1">
      <c r="F1011" s="35"/>
      <c r="G1011" s="35"/>
      <c r="H1011" s="35"/>
      <c r="I1011" s="35"/>
      <c r="J1011" s="35"/>
      <c r="K1011" s="35"/>
      <c r="L1011" s="35"/>
      <c r="M1011" s="35"/>
      <c r="N1011" s="35"/>
      <c r="O1011" s="35"/>
      <c r="P1011" s="35"/>
      <c r="Q1011" s="35"/>
      <c r="R1011" s="35"/>
    </row>
    <row r="1012" spans="6:18" ht="9.9499999999999993" customHeight="1">
      <c r="F1012" s="35"/>
      <c r="G1012" s="35"/>
      <c r="H1012" s="35"/>
      <c r="I1012" s="35"/>
      <c r="J1012" s="35"/>
      <c r="K1012" s="35"/>
      <c r="L1012" s="35"/>
      <c r="M1012" s="35"/>
      <c r="N1012" s="35"/>
      <c r="O1012" s="35"/>
      <c r="P1012" s="35"/>
      <c r="Q1012" s="35"/>
      <c r="R1012" s="35"/>
    </row>
    <row r="1013" spans="6:18" ht="9.9499999999999993" customHeight="1">
      <c r="F1013" s="35"/>
      <c r="G1013" s="35"/>
      <c r="H1013" s="35"/>
      <c r="I1013" s="35"/>
      <c r="J1013" s="35"/>
      <c r="K1013" s="35"/>
      <c r="L1013" s="35"/>
      <c r="M1013" s="35"/>
      <c r="N1013" s="35"/>
      <c r="O1013" s="35"/>
      <c r="P1013" s="35"/>
      <c r="Q1013" s="35"/>
      <c r="R1013" s="35"/>
    </row>
    <row r="1014" spans="6:18" ht="9.9499999999999993" customHeight="1">
      <c r="F1014" s="35"/>
      <c r="G1014" s="35"/>
      <c r="H1014" s="35"/>
      <c r="I1014" s="35"/>
      <c r="J1014" s="35"/>
      <c r="K1014" s="35"/>
      <c r="L1014" s="35"/>
      <c r="M1014" s="35"/>
      <c r="N1014" s="35"/>
      <c r="O1014" s="35"/>
      <c r="P1014" s="35"/>
      <c r="Q1014" s="35"/>
      <c r="R1014" s="35"/>
    </row>
    <row r="1015" spans="6:18" ht="9.9499999999999993" customHeight="1">
      <c r="F1015" s="35"/>
      <c r="G1015" s="35"/>
      <c r="H1015" s="35"/>
      <c r="I1015" s="35"/>
      <c r="J1015" s="35"/>
      <c r="K1015" s="35"/>
      <c r="L1015" s="35"/>
      <c r="M1015" s="35"/>
      <c r="N1015" s="35"/>
      <c r="O1015" s="35"/>
      <c r="P1015" s="35"/>
      <c r="Q1015" s="35"/>
      <c r="R1015" s="35"/>
    </row>
    <row r="1016" spans="6:18" ht="9.9499999999999993" customHeight="1">
      <c r="F1016" s="35"/>
      <c r="G1016" s="35"/>
      <c r="H1016" s="35"/>
      <c r="I1016" s="35"/>
      <c r="J1016" s="35"/>
      <c r="K1016" s="35"/>
      <c r="L1016" s="35"/>
      <c r="M1016" s="35"/>
      <c r="N1016" s="35"/>
      <c r="O1016" s="35"/>
      <c r="P1016" s="35"/>
      <c r="Q1016" s="35"/>
      <c r="R1016" s="35"/>
    </row>
    <row r="1017" spans="6:18" ht="9.9499999999999993" customHeight="1">
      <c r="F1017" s="35"/>
      <c r="G1017" s="35"/>
      <c r="H1017" s="35"/>
      <c r="I1017" s="35"/>
      <c r="J1017" s="35"/>
      <c r="K1017" s="35"/>
      <c r="L1017" s="35"/>
      <c r="M1017" s="35"/>
      <c r="N1017" s="35"/>
      <c r="O1017" s="35"/>
      <c r="P1017" s="35"/>
      <c r="Q1017" s="35"/>
      <c r="R1017" s="35"/>
    </row>
    <row r="1018" spans="6:18" ht="9.9499999999999993" customHeight="1">
      <c r="F1018" s="35"/>
      <c r="G1018" s="35"/>
      <c r="H1018" s="35"/>
      <c r="I1018" s="35"/>
      <c r="J1018" s="35"/>
      <c r="K1018" s="35"/>
      <c r="L1018" s="35"/>
      <c r="M1018" s="35"/>
      <c r="N1018" s="35"/>
      <c r="O1018" s="35"/>
      <c r="P1018" s="35"/>
      <c r="Q1018" s="35"/>
      <c r="R1018" s="35"/>
    </row>
    <row r="1019" spans="6:18" ht="9.9499999999999993" customHeight="1">
      <c r="F1019" s="35"/>
      <c r="G1019" s="35"/>
      <c r="H1019" s="35"/>
      <c r="I1019" s="35"/>
      <c r="J1019" s="35"/>
      <c r="K1019" s="35"/>
      <c r="L1019" s="35"/>
      <c r="M1019" s="35"/>
      <c r="N1019" s="35"/>
      <c r="O1019" s="35"/>
      <c r="P1019" s="35"/>
      <c r="Q1019" s="35"/>
      <c r="R1019" s="35"/>
    </row>
    <row r="1020" spans="6:18" ht="9.9499999999999993" customHeight="1">
      <c r="F1020" s="35"/>
      <c r="G1020" s="35"/>
      <c r="H1020" s="35"/>
      <c r="I1020" s="35"/>
      <c r="J1020" s="35"/>
      <c r="K1020" s="35"/>
      <c r="L1020" s="35"/>
      <c r="M1020" s="35"/>
      <c r="N1020" s="35"/>
      <c r="O1020" s="35"/>
      <c r="P1020" s="35"/>
      <c r="Q1020" s="35"/>
      <c r="R1020" s="35"/>
    </row>
    <row r="1021" spans="6:18" ht="9.9499999999999993" customHeight="1">
      <c r="F1021" s="35"/>
      <c r="G1021" s="35"/>
      <c r="H1021" s="35"/>
      <c r="I1021" s="35"/>
      <c r="J1021" s="35"/>
      <c r="K1021" s="35"/>
      <c r="L1021" s="35"/>
      <c r="M1021" s="35"/>
      <c r="N1021" s="35"/>
      <c r="O1021" s="35"/>
      <c r="P1021" s="35"/>
      <c r="Q1021" s="35"/>
      <c r="R1021" s="35"/>
    </row>
    <row r="1022" spans="6:18" ht="9.9499999999999993" customHeight="1">
      <c r="F1022" s="35"/>
      <c r="G1022" s="35"/>
      <c r="H1022" s="35"/>
      <c r="I1022" s="35"/>
      <c r="J1022" s="35"/>
      <c r="K1022" s="35"/>
      <c r="L1022" s="35"/>
      <c r="M1022" s="35"/>
      <c r="N1022" s="35"/>
      <c r="O1022" s="35"/>
      <c r="P1022" s="35"/>
      <c r="Q1022" s="35"/>
      <c r="R1022" s="35"/>
    </row>
    <row r="1023" spans="6:18" ht="9.9499999999999993" customHeight="1">
      <c r="F1023" s="35"/>
      <c r="G1023" s="35"/>
      <c r="H1023" s="35"/>
      <c r="I1023" s="35"/>
      <c r="J1023" s="35"/>
      <c r="K1023" s="35"/>
      <c r="L1023" s="35"/>
      <c r="M1023" s="35"/>
      <c r="N1023" s="35"/>
      <c r="O1023" s="35"/>
      <c r="P1023" s="35"/>
      <c r="Q1023" s="35"/>
      <c r="R1023" s="35"/>
    </row>
    <row r="1024" spans="6:18" ht="9.9499999999999993" customHeight="1">
      <c r="F1024" s="35"/>
      <c r="G1024" s="35"/>
      <c r="H1024" s="35"/>
      <c r="I1024" s="35"/>
      <c r="J1024" s="35"/>
      <c r="K1024" s="35"/>
      <c r="L1024" s="35"/>
      <c r="M1024" s="35"/>
      <c r="N1024" s="35"/>
      <c r="O1024" s="35"/>
      <c r="P1024" s="35"/>
      <c r="Q1024" s="35"/>
      <c r="R1024" s="35"/>
    </row>
    <row r="1025" spans="6:18" ht="9.9499999999999993" customHeight="1">
      <c r="F1025" s="35"/>
      <c r="G1025" s="35"/>
      <c r="H1025" s="35"/>
      <c r="I1025" s="35"/>
      <c r="J1025" s="35"/>
      <c r="K1025" s="35"/>
      <c r="L1025" s="35"/>
      <c r="M1025" s="35"/>
      <c r="N1025" s="35"/>
      <c r="O1025" s="35"/>
      <c r="P1025" s="35"/>
      <c r="Q1025" s="35"/>
      <c r="R1025" s="35"/>
    </row>
    <row r="1026" spans="6:18" ht="9.9499999999999993" customHeight="1">
      <c r="F1026" s="35"/>
      <c r="G1026" s="35"/>
      <c r="H1026" s="35"/>
      <c r="I1026" s="35"/>
      <c r="J1026" s="35"/>
      <c r="K1026" s="35"/>
      <c r="L1026" s="35"/>
      <c r="M1026" s="35"/>
      <c r="N1026" s="35"/>
      <c r="O1026" s="35"/>
      <c r="P1026" s="35"/>
      <c r="Q1026" s="35"/>
      <c r="R1026" s="35"/>
    </row>
    <row r="1027" spans="6:18" ht="9.9499999999999993" customHeight="1">
      <c r="F1027" s="35"/>
      <c r="G1027" s="35"/>
      <c r="H1027" s="35"/>
      <c r="I1027" s="35"/>
      <c r="J1027" s="35"/>
      <c r="K1027" s="35"/>
      <c r="L1027" s="35"/>
      <c r="M1027" s="35"/>
      <c r="N1027" s="35"/>
      <c r="O1027" s="35"/>
      <c r="P1027" s="35"/>
      <c r="Q1027" s="35"/>
      <c r="R1027" s="35"/>
    </row>
    <row r="1028" spans="6:18" ht="9.9499999999999993" customHeight="1">
      <c r="F1028" s="35"/>
      <c r="G1028" s="35"/>
      <c r="H1028" s="35"/>
      <c r="I1028" s="35"/>
      <c r="J1028" s="35"/>
      <c r="K1028" s="35"/>
      <c r="L1028" s="35"/>
      <c r="M1028" s="35"/>
      <c r="N1028" s="35"/>
      <c r="O1028" s="35"/>
      <c r="P1028" s="35"/>
      <c r="Q1028" s="35"/>
      <c r="R1028" s="35"/>
    </row>
    <row r="1029" spans="6:18" ht="9.9499999999999993" customHeight="1">
      <c r="F1029" s="35"/>
      <c r="G1029" s="35"/>
      <c r="H1029" s="35"/>
      <c r="I1029" s="35"/>
      <c r="J1029" s="35"/>
      <c r="K1029" s="35"/>
      <c r="L1029" s="35"/>
      <c r="M1029" s="35"/>
      <c r="N1029" s="35"/>
      <c r="O1029" s="35"/>
      <c r="P1029" s="35"/>
      <c r="Q1029" s="35"/>
      <c r="R1029" s="35"/>
    </row>
    <row r="1030" spans="6:18" ht="9.9499999999999993" customHeight="1">
      <c r="F1030" s="35"/>
      <c r="G1030" s="35"/>
      <c r="H1030" s="35"/>
      <c r="I1030" s="35"/>
      <c r="J1030" s="35"/>
      <c r="K1030" s="35"/>
      <c r="L1030" s="35"/>
      <c r="M1030" s="35"/>
      <c r="N1030" s="35"/>
      <c r="O1030" s="35"/>
      <c r="P1030" s="35"/>
      <c r="Q1030" s="35"/>
      <c r="R1030" s="35"/>
    </row>
    <row r="1031" spans="6:18" ht="9.9499999999999993" customHeight="1">
      <c r="F1031" s="35"/>
      <c r="G1031" s="35"/>
      <c r="H1031" s="35"/>
      <c r="I1031" s="35"/>
      <c r="J1031" s="35"/>
      <c r="K1031" s="35"/>
      <c r="L1031" s="35"/>
      <c r="M1031" s="35"/>
      <c r="N1031" s="35"/>
      <c r="O1031" s="35"/>
      <c r="P1031" s="35"/>
      <c r="Q1031" s="35"/>
      <c r="R1031" s="35"/>
    </row>
    <row r="1032" spans="6:18" ht="9.9499999999999993" customHeight="1">
      <c r="F1032" s="35"/>
      <c r="G1032" s="35"/>
      <c r="H1032" s="35"/>
      <c r="I1032" s="35"/>
      <c r="J1032" s="35"/>
      <c r="K1032" s="35"/>
      <c r="L1032" s="35"/>
      <c r="M1032" s="35"/>
      <c r="N1032" s="35"/>
      <c r="O1032" s="35"/>
      <c r="P1032" s="35"/>
      <c r="Q1032" s="35"/>
      <c r="R1032" s="35"/>
    </row>
    <row r="1033" spans="6:18" ht="9.9499999999999993" customHeight="1">
      <c r="F1033" s="35"/>
      <c r="G1033" s="35"/>
      <c r="H1033" s="35"/>
      <c r="I1033" s="35"/>
      <c r="J1033" s="35"/>
      <c r="K1033" s="35"/>
      <c r="L1033" s="35"/>
      <c r="M1033" s="35"/>
      <c r="N1033" s="35"/>
      <c r="O1033" s="35"/>
      <c r="P1033" s="35"/>
      <c r="Q1033" s="35"/>
      <c r="R1033" s="35"/>
    </row>
    <row r="1034" spans="6:18" ht="9.9499999999999993" customHeight="1">
      <c r="F1034" s="35"/>
      <c r="G1034" s="35"/>
      <c r="H1034" s="35"/>
      <c r="I1034" s="35"/>
      <c r="J1034" s="35"/>
      <c r="K1034" s="35"/>
      <c r="L1034" s="35"/>
      <c r="M1034" s="35"/>
      <c r="N1034" s="35"/>
      <c r="O1034" s="35"/>
      <c r="P1034" s="35"/>
      <c r="Q1034" s="35"/>
      <c r="R1034" s="35"/>
    </row>
    <row r="1035" spans="6:18" ht="9.9499999999999993" customHeight="1">
      <c r="F1035" s="35"/>
      <c r="G1035" s="35"/>
      <c r="H1035" s="35"/>
      <c r="I1035" s="35"/>
      <c r="J1035" s="35"/>
      <c r="K1035" s="35"/>
      <c r="L1035" s="35"/>
      <c r="M1035" s="35"/>
      <c r="N1035" s="35"/>
      <c r="O1035" s="35"/>
      <c r="P1035" s="35"/>
      <c r="Q1035" s="35"/>
      <c r="R1035" s="35"/>
    </row>
    <row r="1036" spans="6:18" ht="9.9499999999999993" customHeight="1">
      <c r="F1036" s="35"/>
      <c r="G1036" s="35"/>
      <c r="H1036" s="35"/>
      <c r="I1036" s="35"/>
      <c r="J1036" s="35"/>
      <c r="K1036" s="35"/>
      <c r="L1036" s="35"/>
      <c r="M1036" s="35"/>
      <c r="N1036" s="35"/>
      <c r="O1036" s="35"/>
      <c r="P1036" s="35"/>
      <c r="Q1036" s="35"/>
      <c r="R1036" s="35"/>
    </row>
    <row r="1037" spans="6:18" ht="9.9499999999999993" customHeight="1">
      <c r="F1037" s="35"/>
      <c r="G1037" s="35"/>
      <c r="H1037" s="35"/>
      <c r="I1037" s="35"/>
      <c r="J1037" s="35"/>
      <c r="K1037" s="35"/>
      <c r="L1037" s="35"/>
      <c r="M1037" s="35"/>
      <c r="N1037" s="35"/>
      <c r="O1037" s="35"/>
      <c r="P1037" s="35"/>
      <c r="Q1037" s="35"/>
      <c r="R1037" s="35"/>
    </row>
    <row r="1038" spans="6:18" ht="9.9499999999999993" customHeight="1">
      <c r="F1038" s="35"/>
      <c r="G1038" s="35"/>
      <c r="H1038" s="35"/>
      <c r="I1038" s="35"/>
      <c r="J1038" s="35"/>
      <c r="K1038" s="35"/>
      <c r="L1038" s="35"/>
      <c r="M1038" s="35"/>
      <c r="N1038" s="35"/>
      <c r="O1038" s="35"/>
      <c r="P1038" s="35"/>
      <c r="Q1038" s="35"/>
      <c r="R1038" s="35"/>
    </row>
    <row r="1039" spans="6:18" ht="9.9499999999999993" customHeight="1">
      <c r="F1039" s="35"/>
      <c r="G1039" s="35"/>
      <c r="H1039" s="35"/>
      <c r="I1039" s="35"/>
      <c r="J1039" s="35"/>
      <c r="K1039" s="35"/>
      <c r="L1039" s="35"/>
      <c r="M1039" s="35"/>
      <c r="N1039" s="35"/>
      <c r="O1039" s="35"/>
      <c r="P1039" s="35"/>
      <c r="Q1039" s="35"/>
      <c r="R1039" s="35"/>
    </row>
    <row r="1040" spans="6:18" ht="9.9499999999999993" customHeight="1">
      <c r="F1040" s="35"/>
      <c r="G1040" s="35"/>
      <c r="H1040" s="35"/>
      <c r="I1040" s="35"/>
      <c r="J1040" s="35"/>
      <c r="K1040" s="35"/>
      <c r="L1040" s="35"/>
      <c r="M1040" s="35"/>
      <c r="N1040" s="35"/>
      <c r="O1040" s="35"/>
      <c r="P1040" s="35"/>
      <c r="Q1040" s="35"/>
      <c r="R1040" s="35"/>
    </row>
    <row r="1041" spans="6:18" ht="9.9499999999999993" customHeight="1">
      <c r="F1041" s="35"/>
      <c r="G1041" s="35"/>
      <c r="H1041" s="35"/>
      <c r="I1041" s="35"/>
      <c r="J1041" s="35"/>
      <c r="K1041" s="35"/>
      <c r="L1041" s="35"/>
      <c r="M1041" s="35"/>
      <c r="N1041" s="35"/>
      <c r="O1041" s="35"/>
      <c r="P1041" s="35"/>
      <c r="Q1041" s="35"/>
      <c r="R1041" s="35"/>
    </row>
    <row r="1042" spans="6:18" ht="9.9499999999999993" customHeight="1">
      <c r="F1042" s="35"/>
      <c r="G1042" s="35"/>
      <c r="H1042" s="35"/>
      <c r="I1042" s="35"/>
      <c r="J1042" s="35"/>
      <c r="K1042" s="35"/>
      <c r="L1042" s="35"/>
      <c r="M1042" s="35"/>
      <c r="N1042" s="35"/>
      <c r="O1042" s="35"/>
      <c r="P1042" s="35"/>
      <c r="Q1042" s="35"/>
      <c r="R1042" s="35"/>
    </row>
    <row r="1043" spans="6:18" ht="9.9499999999999993" customHeight="1">
      <c r="F1043" s="35"/>
      <c r="G1043" s="35"/>
      <c r="H1043" s="35"/>
      <c r="I1043" s="35"/>
      <c r="J1043" s="35"/>
      <c r="K1043" s="35"/>
      <c r="L1043" s="35"/>
      <c r="M1043" s="35"/>
      <c r="N1043" s="35"/>
      <c r="O1043" s="35"/>
      <c r="P1043" s="35"/>
      <c r="Q1043" s="35"/>
      <c r="R1043" s="35"/>
    </row>
    <row r="1044" spans="6:18" ht="9.9499999999999993" customHeight="1">
      <c r="F1044" s="35"/>
      <c r="G1044" s="35"/>
      <c r="H1044" s="35"/>
      <c r="I1044" s="35"/>
      <c r="J1044" s="35"/>
      <c r="K1044" s="35"/>
      <c r="L1044" s="35"/>
      <c r="M1044" s="35"/>
      <c r="N1044" s="35"/>
      <c r="O1044" s="35"/>
      <c r="P1044" s="35"/>
      <c r="Q1044" s="35"/>
      <c r="R1044" s="35"/>
    </row>
    <row r="1045" spans="6:18" ht="9.9499999999999993" customHeight="1">
      <c r="F1045" s="35"/>
      <c r="G1045" s="35"/>
      <c r="H1045" s="35"/>
      <c r="I1045" s="35"/>
      <c r="J1045" s="35"/>
      <c r="K1045" s="35"/>
      <c r="L1045" s="35"/>
      <c r="M1045" s="35"/>
      <c r="N1045" s="35"/>
      <c r="O1045" s="35"/>
      <c r="P1045" s="35"/>
      <c r="Q1045" s="35"/>
      <c r="R1045" s="35"/>
    </row>
    <row r="1046" spans="6:18" ht="9.9499999999999993" customHeight="1">
      <c r="F1046" s="35"/>
      <c r="G1046" s="35"/>
      <c r="H1046" s="35"/>
      <c r="I1046" s="35"/>
      <c r="J1046" s="35"/>
      <c r="K1046" s="35"/>
      <c r="L1046" s="35"/>
      <c r="M1046" s="35"/>
      <c r="N1046" s="35"/>
      <c r="O1046" s="35"/>
      <c r="P1046" s="35"/>
      <c r="Q1046" s="35"/>
      <c r="R1046" s="35"/>
    </row>
    <row r="1047" spans="6:18" ht="9.9499999999999993" customHeight="1">
      <c r="F1047" s="35"/>
      <c r="G1047" s="35"/>
      <c r="H1047" s="35"/>
      <c r="I1047" s="35"/>
      <c r="J1047" s="35"/>
      <c r="K1047" s="35"/>
      <c r="L1047" s="35"/>
      <c r="M1047" s="35"/>
      <c r="N1047" s="35"/>
      <c r="O1047" s="35"/>
      <c r="P1047" s="35"/>
      <c r="Q1047" s="35"/>
      <c r="R1047" s="35"/>
    </row>
    <row r="1048" spans="6:18" ht="9.9499999999999993" customHeight="1">
      <c r="F1048" s="35"/>
      <c r="G1048" s="35"/>
      <c r="H1048" s="35"/>
      <c r="I1048" s="35"/>
      <c r="J1048" s="35"/>
      <c r="K1048" s="35"/>
      <c r="L1048" s="35"/>
      <c r="M1048" s="35"/>
      <c r="N1048" s="35"/>
      <c r="O1048" s="35"/>
      <c r="P1048" s="35"/>
      <c r="Q1048" s="35"/>
      <c r="R1048" s="35"/>
    </row>
    <row r="1049" spans="6:18" ht="9.9499999999999993" customHeight="1">
      <c r="F1049" s="35"/>
      <c r="G1049" s="35"/>
      <c r="H1049" s="35"/>
      <c r="I1049" s="35"/>
      <c r="J1049" s="35"/>
      <c r="K1049" s="35"/>
      <c r="L1049" s="35"/>
      <c r="M1049" s="35"/>
      <c r="N1049" s="35"/>
      <c r="O1049" s="35"/>
      <c r="P1049" s="35"/>
      <c r="Q1049" s="35"/>
      <c r="R1049" s="35"/>
    </row>
    <row r="1050" spans="6:18" ht="9.9499999999999993" customHeight="1">
      <c r="F1050" s="35"/>
      <c r="G1050" s="35"/>
      <c r="H1050" s="35"/>
      <c r="I1050" s="35"/>
      <c r="J1050" s="35"/>
      <c r="K1050" s="35"/>
      <c r="L1050" s="35"/>
      <c r="M1050" s="35"/>
      <c r="N1050" s="35"/>
      <c r="O1050" s="35"/>
      <c r="P1050" s="35"/>
      <c r="Q1050" s="35"/>
      <c r="R1050" s="35"/>
    </row>
    <row r="1051" spans="6:18" ht="9.9499999999999993" customHeight="1">
      <c r="F1051" s="35"/>
      <c r="G1051" s="35"/>
      <c r="H1051" s="35"/>
      <c r="I1051" s="35"/>
      <c r="J1051" s="35"/>
      <c r="K1051" s="35"/>
      <c r="L1051" s="35"/>
      <c r="M1051" s="35"/>
      <c r="N1051" s="35"/>
      <c r="O1051" s="35"/>
      <c r="P1051" s="35"/>
      <c r="Q1051" s="35"/>
      <c r="R1051" s="35"/>
    </row>
    <row r="1052" spans="6:18" ht="9.9499999999999993" customHeight="1">
      <c r="F1052" s="35"/>
      <c r="G1052" s="35"/>
      <c r="H1052" s="35"/>
      <c r="I1052" s="35"/>
      <c r="J1052" s="35"/>
      <c r="K1052" s="35"/>
      <c r="L1052" s="35"/>
      <c r="M1052" s="35"/>
      <c r="N1052" s="35"/>
      <c r="O1052" s="35"/>
      <c r="P1052" s="35"/>
      <c r="Q1052" s="35"/>
      <c r="R1052" s="35"/>
    </row>
    <row r="1053" spans="6:18" ht="9.9499999999999993" customHeight="1">
      <c r="F1053" s="35"/>
      <c r="G1053" s="35"/>
      <c r="H1053" s="35"/>
      <c r="I1053" s="35"/>
      <c r="J1053" s="35"/>
      <c r="K1053" s="35"/>
      <c r="L1053" s="35"/>
      <c r="M1053" s="35"/>
      <c r="N1053" s="35"/>
      <c r="O1053" s="35"/>
      <c r="P1053" s="35"/>
      <c r="Q1053" s="35"/>
      <c r="R1053" s="35"/>
    </row>
    <row r="1054" spans="6:18" ht="9.9499999999999993" customHeight="1">
      <c r="F1054" s="35"/>
      <c r="G1054" s="35"/>
      <c r="H1054" s="35"/>
      <c r="I1054" s="35"/>
      <c r="J1054" s="35"/>
      <c r="K1054" s="35"/>
      <c r="L1054" s="35"/>
      <c r="M1054" s="35"/>
      <c r="N1054" s="35"/>
      <c r="O1054" s="35"/>
      <c r="P1054" s="35"/>
      <c r="Q1054" s="35"/>
      <c r="R1054" s="35"/>
    </row>
    <row r="1055" spans="6:18" ht="9.9499999999999993" customHeight="1">
      <c r="F1055" s="35"/>
      <c r="G1055" s="35"/>
      <c r="H1055" s="35"/>
      <c r="I1055" s="35"/>
      <c r="J1055" s="35"/>
      <c r="K1055" s="35"/>
      <c r="L1055" s="35"/>
      <c r="M1055" s="35"/>
      <c r="N1055" s="35"/>
      <c r="O1055" s="35"/>
      <c r="P1055" s="35"/>
      <c r="Q1055" s="35"/>
      <c r="R1055" s="35"/>
    </row>
    <row r="1056" spans="6:18" ht="9.9499999999999993" customHeight="1">
      <c r="F1056" s="35"/>
      <c r="G1056" s="35"/>
      <c r="H1056" s="35"/>
      <c r="I1056" s="35"/>
      <c r="J1056" s="35"/>
      <c r="K1056" s="35"/>
      <c r="L1056" s="35"/>
      <c r="M1056" s="35"/>
      <c r="N1056" s="35"/>
      <c r="O1056" s="35"/>
      <c r="P1056" s="35"/>
      <c r="Q1056" s="35"/>
      <c r="R1056" s="35"/>
    </row>
    <row r="1057" spans="6:18" ht="9.9499999999999993" customHeight="1">
      <c r="F1057" s="35"/>
      <c r="G1057" s="35"/>
      <c r="H1057" s="35"/>
      <c r="I1057" s="35"/>
      <c r="J1057" s="35"/>
      <c r="K1057" s="35"/>
      <c r="L1057" s="35"/>
      <c r="M1057" s="35"/>
      <c r="N1057" s="35"/>
      <c r="O1057" s="35"/>
      <c r="P1057" s="35"/>
      <c r="Q1057" s="35"/>
      <c r="R1057" s="35"/>
    </row>
    <row r="1058" spans="6:18" ht="9.9499999999999993" customHeight="1">
      <c r="F1058" s="35"/>
      <c r="G1058" s="35"/>
      <c r="H1058" s="35"/>
      <c r="I1058" s="35"/>
      <c r="J1058" s="35"/>
      <c r="K1058" s="35"/>
      <c r="L1058" s="35"/>
      <c r="M1058" s="35"/>
      <c r="N1058" s="35"/>
      <c r="O1058" s="35"/>
      <c r="P1058" s="35"/>
      <c r="Q1058" s="35"/>
      <c r="R1058" s="35"/>
    </row>
    <row r="1059" spans="6:18" ht="9.9499999999999993" customHeight="1">
      <c r="F1059" s="35"/>
      <c r="G1059" s="35"/>
      <c r="H1059" s="35"/>
      <c r="I1059" s="35"/>
      <c r="J1059" s="35"/>
      <c r="K1059" s="35"/>
      <c r="L1059" s="35"/>
      <c r="M1059" s="35"/>
      <c r="N1059" s="35"/>
      <c r="O1059" s="35"/>
      <c r="P1059" s="35"/>
      <c r="Q1059" s="35"/>
      <c r="R1059" s="35"/>
    </row>
    <row r="1060" spans="6:18" ht="9.9499999999999993" customHeight="1">
      <c r="F1060" s="35"/>
      <c r="G1060" s="35"/>
      <c r="H1060" s="35"/>
      <c r="I1060" s="35"/>
      <c r="J1060" s="35"/>
      <c r="K1060" s="35"/>
      <c r="L1060" s="35"/>
      <c r="M1060" s="35"/>
      <c r="N1060" s="35"/>
      <c r="O1060" s="35"/>
      <c r="P1060" s="35"/>
      <c r="Q1060" s="35"/>
      <c r="R1060" s="35"/>
    </row>
    <row r="1061" spans="6:18" ht="9.9499999999999993" customHeight="1">
      <c r="F1061" s="35"/>
      <c r="G1061" s="35"/>
      <c r="H1061" s="35"/>
      <c r="I1061" s="35"/>
      <c r="J1061" s="35"/>
      <c r="K1061" s="35"/>
      <c r="L1061" s="35"/>
      <c r="M1061" s="35"/>
      <c r="N1061" s="35"/>
      <c r="O1061" s="35"/>
      <c r="P1061" s="35"/>
      <c r="Q1061" s="35"/>
      <c r="R1061" s="35"/>
    </row>
    <row r="1062" spans="6:18" ht="9.9499999999999993" customHeight="1">
      <c r="F1062" s="35"/>
      <c r="G1062" s="35"/>
      <c r="H1062" s="35"/>
      <c r="I1062" s="35"/>
      <c r="J1062" s="35"/>
      <c r="K1062" s="35"/>
      <c r="L1062" s="35"/>
      <c r="M1062" s="35"/>
      <c r="N1062" s="35"/>
      <c r="O1062" s="35"/>
      <c r="P1062" s="35"/>
      <c r="Q1062" s="35"/>
      <c r="R1062" s="35"/>
    </row>
    <row r="1063" spans="6:18" ht="9.9499999999999993" customHeight="1">
      <c r="F1063" s="35"/>
      <c r="G1063" s="35"/>
      <c r="H1063" s="35"/>
      <c r="I1063" s="35"/>
      <c r="J1063" s="35"/>
      <c r="K1063" s="35"/>
      <c r="L1063" s="35"/>
      <c r="M1063" s="35"/>
      <c r="N1063" s="35"/>
      <c r="O1063" s="35"/>
      <c r="P1063" s="35"/>
      <c r="Q1063" s="35"/>
      <c r="R1063" s="35"/>
    </row>
    <row r="1064" spans="6:18" ht="9.9499999999999993" customHeight="1">
      <c r="F1064" s="35"/>
      <c r="G1064" s="35"/>
      <c r="H1064" s="35"/>
      <c r="I1064" s="35"/>
      <c r="J1064" s="35"/>
      <c r="K1064" s="35"/>
      <c r="L1064" s="35"/>
      <c r="M1064" s="35"/>
      <c r="N1064" s="35"/>
      <c r="O1064" s="35"/>
      <c r="P1064" s="35"/>
      <c r="Q1064" s="35"/>
      <c r="R1064" s="35"/>
    </row>
    <row r="1065" spans="6:18" ht="9.9499999999999993" customHeight="1">
      <c r="F1065" s="35"/>
      <c r="G1065" s="35"/>
      <c r="H1065" s="35"/>
      <c r="I1065" s="35"/>
      <c r="J1065" s="35"/>
      <c r="K1065" s="35"/>
      <c r="L1065" s="35"/>
      <c r="M1065" s="35"/>
      <c r="N1065" s="35"/>
      <c r="O1065" s="35"/>
      <c r="P1065" s="35"/>
      <c r="Q1065" s="35"/>
      <c r="R1065" s="35"/>
    </row>
    <row r="1066" spans="6:18" ht="9.9499999999999993" customHeight="1">
      <c r="F1066" s="35"/>
      <c r="G1066" s="35"/>
      <c r="H1066" s="35"/>
      <c r="I1066" s="35"/>
      <c r="J1066" s="35"/>
      <c r="K1066" s="35"/>
      <c r="L1066" s="35"/>
      <c r="M1066" s="35"/>
      <c r="N1066" s="35"/>
      <c r="O1066" s="35"/>
      <c r="P1066" s="35"/>
      <c r="Q1066" s="35"/>
      <c r="R1066" s="35"/>
    </row>
    <row r="1067" spans="6:18" ht="9.9499999999999993" customHeight="1">
      <c r="F1067" s="35"/>
      <c r="G1067" s="35"/>
      <c r="H1067" s="35"/>
      <c r="I1067" s="35"/>
      <c r="J1067" s="35"/>
      <c r="K1067" s="35"/>
      <c r="L1067" s="35"/>
      <c r="M1067" s="35"/>
      <c r="N1067" s="35"/>
      <c r="O1067" s="35"/>
      <c r="P1067" s="35"/>
      <c r="Q1067" s="35"/>
      <c r="R1067" s="35"/>
    </row>
    <row r="1068" spans="6:18" ht="9.9499999999999993" customHeight="1">
      <c r="F1068" s="35"/>
      <c r="G1068" s="35"/>
      <c r="H1068" s="35"/>
      <c r="I1068" s="35"/>
      <c r="J1068" s="35"/>
      <c r="K1068" s="35"/>
      <c r="L1068" s="35"/>
      <c r="M1068" s="35"/>
      <c r="N1068" s="35"/>
      <c r="O1068" s="35"/>
      <c r="P1068" s="35"/>
      <c r="Q1068" s="35"/>
      <c r="R1068" s="35"/>
    </row>
    <row r="1069" spans="6:18" ht="9.9499999999999993" customHeight="1">
      <c r="F1069" s="35"/>
      <c r="G1069" s="35"/>
      <c r="H1069" s="35"/>
      <c r="I1069" s="35"/>
      <c r="J1069" s="35"/>
      <c r="K1069" s="35"/>
      <c r="L1069" s="35"/>
      <c r="M1069" s="35"/>
      <c r="N1069" s="35"/>
      <c r="O1069" s="35"/>
      <c r="P1069" s="35"/>
      <c r="Q1069" s="35"/>
      <c r="R1069" s="35"/>
    </row>
    <row r="1070" spans="6:18" ht="9.9499999999999993" customHeight="1">
      <c r="F1070" s="35"/>
      <c r="G1070" s="35"/>
      <c r="H1070" s="35"/>
      <c r="I1070" s="35"/>
      <c r="J1070" s="35"/>
      <c r="K1070" s="35"/>
      <c r="L1070" s="35"/>
      <c r="M1070" s="35"/>
      <c r="N1070" s="35"/>
      <c r="O1070" s="35"/>
      <c r="P1070" s="35"/>
      <c r="Q1070" s="35"/>
      <c r="R1070" s="35"/>
    </row>
    <row r="1071" spans="6:18" ht="9.9499999999999993" customHeight="1">
      <c r="F1071" s="35"/>
      <c r="G1071" s="35"/>
      <c r="H1071" s="35"/>
      <c r="I1071" s="35"/>
      <c r="J1071" s="35"/>
      <c r="K1071" s="35"/>
      <c r="L1071" s="35"/>
      <c r="M1071" s="35"/>
      <c r="N1071" s="35"/>
      <c r="O1071" s="35"/>
      <c r="P1071" s="35"/>
      <c r="Q1071" s="35"/>
      <c r="R1071" s="35"/>
    </row>
    <row r="1072" spans="6:18" ht="9.9499999999999993" customHeight="1">
      <c r="F1072" s="35"/>
      <c r="G1072" s="35"/>
      <c r="H1072" s="35"/>
      <c r="I1072" s="35"/>
      <c r="J1072" s="35"/>
      <c r="K1072" s="35"/>
      <c r="L1072" s="35"/>
      <c r="M1072" s="35"/>
      <c r="N1072" s="35"/>
      <c r="O1072" s="35"/>
      <c r="P1072" s="35"/>
      <c r="Q1072" s="35"/>
      <c r="R1072" s="35"/>
    </row>
    <row r="1073" spans="6:18" ht="9.9499999999999993" customHeight="1">
      <c r="F1073" s="35"/>
      <c r="G1073" s="35"/>
      <c r="H1073" s="35"/>
      <c r="I1073" s="35"/>
      <c r="J1073" s="35"/>
      <c r="K1073" s="35"/>
      <c r="L1073" s="35"/>
      <c r="M1073" s="35"/>
      <c r="N1073" s="35"/>
      <c r="O1073" s="35"/>
      <c r="P1073" s="35"/>
      <c r="Q1073" s="35"/>
      <c r="R1073" s="35"/>
    </row>
    <row r="1074" spans="6:18" ht="9.9499999999999993" customHeight="1">
      <c r="F1074" s="35"/>
      <c r="G1074" s="35"/>
      <c r="H1074" s="35"/>
      <c r="I1074" s="35"/>
      <c r="J1074" s="35"/>
      <c r="K1074" s="35"/>
      <c r="L1074" s="35"/>
      <c r="M1074" s="35"/>
      <c r="N1074" s="35"/>
      <c r="O1074" s="35"/>
      <c r="P1074" s="35"/>
      <c r="Q1074" s="35"/>
      <c r="R1074" s="35"/>
    </row>
    <row r="1075" spans="6:18" ht="9.9499999999999993" customHeight="1">
      <c r="F1075" s="35"/>
      <c r="G1075" s="35"/>
      <c r="H1075" s="35"/>
      <c r="I1075" s="35"/>
      <c r="J1075" s="35"/>
      <c r="K1075" s="35"/>
      <c r="L1075" s="35"/>
      <c r="M1075" s="35"/>
      <c r="N1075" s="35"/>
      <c r="O1075" s="35"/>
      <c r="P1075" s="35"/>
      <c r="Q1075" s="35"/>
      <c r="R1075" s="35"/>
    </row>
    <row r="1076" spans="6:18" ht="9.9499999999999993" customHeight="1">
      <c r="F1076" s="35"/>
      <c r="G1076" s="35"/>
      <c r="H1076" s="35"/>
      <c r="I1076" s="35"/>
      <c r="J1076" s="35"/>
      <c r="K1076" s="35"/>
      <c r="L1076" s="35"/>
      <c r="M1076" s="35"/>
      <c r="N1076" s="35"/>
      <c r="O1076" s="35"/>
      <c r="P1076" s="35"/>
      <c r="Q1076" s="35"/>
      <c r="R1076" s="35"/>
    </row>
    <row r="1077" spans="6:18" ht="9.9499999999999993" customHeight="1">
      <c r="F1077" s="35"/>
      <c r="G1077" s="35"/>
      <c r="H1077" s="35"/>
      <c r="I1077" s="35"/>
      <c r="J1077" s="35"/>
      <c r="K1077" s="35"/>
      <c r="L1077" s="35"/>
      <c r="M1077" s="35"/>
      <c r="N1077" s="35"/>
      <c r="O1077" s="35"/>
      <c r="P1077" s="35"/>
      <c r="Q1077" s="35"/>
      <c r="R1077" s="35"/>
    </row>
    <row r="1078" spans="6:18" ht="9.9499999999999993" customHeight="1">
      <c r="F1078" s="35"/>
      <c r="G1078" s="35"/>
      <c r="H1078" s="35"/>
      <c r="I1078" s="35"/>
      <c r="J1078" s="35"/>
      <c r="K1078" s="35"/>
      <c r="L1078" s="35"/>
      <c r="M1078" s="35"/>
      <c r="N1078" s="35"/>
      <c r="O1078" s="35"/>
      <c r="P1078" s="35"/>
      <c r="Q1078" s="35"/>
      <c r="R1078" s="35"/>
    </row>
    <row r="1079" spans="6:18" ht="9.9499999999999993" customHeight="1">
      <c r="F1079" s="35"/>
      <c r="G1079" s="35"/>
      <c r="H1079" s="35"/>
      <c r="I1079" s="35"/>
      <c r="J1079" s="35"/>
      <c r="K1079" s="35"/>
      <c r="L1079" s="35"/>
      <c r="M1079" s="35"/>
      <c r="N1079" s="35"/>
      <c r="O1079" s="35"/>
      <c r="P1079" s="35"/>
      <c r="Q1079" s="35"/>
      <c r="R1079" s="35"/>
    </row>
    <row r="1080" spans="6:18" ht="9.9499999999999993" customHeight="1">
      <c r="F1080" s="35"/>
      <c r="G1080" s="35"/>
      <c r="H1080" s="35"/>
      <c r="I1080" s="35"/>
      <c r="J1080" s="35"/>
      <c r="K1080" s="35"/>
      <c r="L1080" s="35"/>
      <c r="M1080" s="35"/>
      <c r="N1080" s="35"/>
      <c r="O1080" s="35"/>
      <c r="P1080" s="35"/>
      <c r="Q1080" s="35"/>
      <c r="R1080" s="35"/>
    </row>
    <row r="1081" spans="6:18" ht="9.9499999999999993" customHeight="1">
      <c r="F1081" s="35"/>
      <c r="G1081" s="35"/>
      <c r="H1081" s="35"/>
      <c r="I1081" s="35"/>
      <c r="J1081" s="35"/>
      <c r="K1081" s="35"/>
      <c r="L1081" s="35"/>
      <c r="M1081" s="35"/>
      <c r="N1081" s="35"/>
      <c r="O1081" s="35"/>
      <c r="P1081" s="35"/>
      <c r="Q1081" s="35"/>
      <c r="R1081" s="35"/>
    </row>
    <row r="1082" spans="6:18" ht="9.9499999999999993" customHeight="1">
      <c r="F1082" s="35"/>
      <c r="G1082" s="35"/>
      <c r="H1082" s="35"/>
      <c r="I1082" s="35"/>
      <c r="J1082" s="35"/>
      <c r="K1082" s="35"/>
      <c r="L1082" s="35"/>
      <c r="M1082" s="35"/>
      <c r="N1082" s="35"/>
      <c r="O1082" s="35"/>
      <c r="P1082" s="35"/>
      <c r="Q1082" s="35"/>
      <c r="R1082" s="35"/>
    </row>
    <row r="1083" spans="6:18" ht="9.9499999999999993" customHeight="1">
      <c r="F1083" s="35"/>
      <c r="G1083" s="35"/>
      <c r="H1083" s="35"/>
      <c r="I1083" s="35"/>
      <c r="J1083" s="35"/>
      <c r="K1083" s="35"/>
      <c r="L1083" s="35"/>
      <c r="M1083" s="35"/>
      <c r="N1083" s="35"/>
      <c r="O1083" s="35"/>
      <c r="P1083" s="35"/>
      <c r="Q1083" s="35"/>
      <c r="R1083" s="35"/>
    </row>
    <row r="1084" spans="6:18" ht="9.9499999999999993" customHeight="1">
      <c r="F1084" s="35"/>
      <c r="G1084" s="35"/>
      <c r="H1084" s="35"/>
      <c r="I1084" s="35"/>
      <c r="J1084" s="35"/>
      <c r="K1084" s="35"/>
      <c r="L1084" s="35"/>
      <c r="M1084" s="35"/>
      <c r="N1084" s="35"/>
      <c r="O1084" s="35"/>
      <c r="P1084" s="35"/>
      <c r="Q1084" s="35"/>
      <c r="R1084" s="35"/>
    </row>
    <row r="1085" spans="6:18" ht="9.9499999999999993" customHeight="1">
      <c r="F1085" s="35"/>
      <c r="G1085" s="35"/>
      <c r="H1085" s="35"/>
      <c r="I1085" s="35"/>
      <c r="J1085" s="35"/>
      <c r="K1085" s="35"/>
      <c r="L1085" s="35"/>
      <c r="M1085" s="35"/>
      <c r="N1085" s="35"/>
      <c r="O1085" s="35"/>
      <c r="P1085" s="35"/>
      <c r="Q1085" s="35"/>
      <c r="R1085" s="35"/>
    </row>
    <row r="1086" spans="6:18" ht="9.9499999999999993" customHeight="1">
      <c r="F1086" s="35"/>
      <c r="G1086" s="35"/>
      <c r="H1086" s="35"/>
      <c r="I1086" s="35"/>
      <c r="J1086" s="35"/>
      <c r="K1086" s="35"/>
      <c r="L1086" s="35"/>
      <c r="M1086" s="35"/>
      <c r="N1086" s="35"/>
      <c r="O1086" s="35"/>
      <c r="P1086" s="35"/>
      <c r="Q1086" s="35"/>
      <c r="R1086" s="35"/>
    </row>
    <row r="1087" spans="6:18" ht="9.9499999999999993" customHeight="1">
      <c r="F1087" s="35"/>
      <c r="G1087" s="35"/>
      <c r="H1087" s="35"/>
      <c r="I1087" s="35"/>
      <c r="J1087" s="35"/>
      <c r="K1087" s="35"/>
      <c r="L1087" s="35"/>
      <c r="M1087" s="35"/>
      <c r="N1087" s="35"/>
      <c r="O1087" s="35"/>
      <c r="P1087" s="35"/>
      <c r="Q1087" s="35"/>
      <c r="R1087" s="35"/>
    </row>
    <row r="1088" spans="6:18" ht="9.9499999999999993" customHeight="1">
      <c r="F1088" s="35"/>
      <c r="G1088" s="35"/>
      <c r="H1088" s="35"/>
      <c r="I1088" s="35"/>
      <c r="J1088" s="35"/>
      <c r="K1088" s="35"/>
      <c r="L1088" s="35"/>
      <c r="M1088" s="35"/>
      <c r="N1088" s="35"/>
      <c r="O1088" s="35"/>
      <c r="P1088" s="35"/>
      <c r="Q1088" s="35"/>
      <c r="R1088" s="35"/>
    </row>
    <row r="1089" spans="6:18" ht="9.9499999999999993" customHeight="1">
      <c r="F1089" s="35"/>
      <c r="G1089" s="35"/>
      <c r="H1089" s="35"/>
      <c r="I1089" s="35"/>
      <c r="J1089" s="35"/>
      <c r="K1089" s="35"/>
      <c r="L1089" s="35"/>
      <c r="M1089" s="35"/>
      <c r="N1089" s="35"/>
      <c r="O1089" s="35"/>
      <c r="P1089" s="35"/>
      <c r="Q1089" s="35"/>
      <c r="R1089" s="35"/>
    </row>
    <row r="1090" spans="6:18" ht="9.9499999999999993" customHeight="1">
      <c r="F1090" s="35"/>
      <c r="G1090" s="35"/>
      <c r="H1090" s="35"/>
      <c r="I1090" s="35"/>
      <c r="J1090" s="35"/>
      <c r="K1090" s="35"/>
      <c r="L1090" s="35"/>
      <c r="M1090" s="35"/>
      <c r="N1090" s="35"/>
      <c r="O1090" s="35"/>
      <c r="P1090" s="35"/>
      <c r="Q1090" s="35"/>
      <c r="R1090" s="35"/>
    </row>
    <row r="1091" spans="6:18" ht="9.9499999999999993" customHeight="1">
      <c r="F1091" s="35"/>
      <c r="G1091" s="35"/>
      <c r="H1091" s="35"/>
      <c r="I1091" s="35"/>
      <c r="J1091" s="35"/>
      <c r="K1091" s="35"/>
      <c r="L1091" s="35"/>
      <c r="M1091" s="35"/>
      <c r="N1091" s="35"/>
      <c r="O1091" s="35"/>
      <c r="P1091" s="35"/>
      <c r="Q1091" s="35"/>
      <c r="R1091" s="35"/>
    </row>
    <row r="1092" spans="6:18" ht="9.9499999999999993" customHeight="1">
      <c r="F1092" s="35"/>
      <c r="G1092" s="35"/>
      <c r="H1092" s="35"/>
      <c r="I1092" s="35"/>
      <c r="J1092" s="35"/>
      <c r="K1092" s="35"/>
      <c r="L1092" s="35"/>
      <c r="M1092" s="35"/>
      <c r="N1092" s="35"/>
      <c r="O1092" s="35"/>
      <c r="P1092" s="35"/>
      <c r="Q1092" s="35"/>
      <c r="R1092" s="35"/>
    </row>
    <row r="1093" spans="6:18" ht="9.9499999999999993" customHeight="1">
      <c r="F1093" s="35"/>
      <c r="G1093" s="35"/>
      <c r="H1093" s="35"/>
      <c r="I1093" s="35"/>
      <c r="J1093" s="35"/>
      <c r="K1093" s="35"/>
      <c r="L1093" s="35"/>
      <c r="M1093" s="35"/>
      <c r="N1093" s="35"/>
      <c r="O1093" s="35"/>
      <c r="P1093" s="35"/>
      <c r="Q1093" s="35"/>
      <c r="R1093" s="35"/>
    </row>
    <row r="1094" spans="6:18" ht="9.9499999999999993" customHeight="1">
      <c r="F1094" s="35"/>
      <c r="G1094" s="35"/>
      <c r="H1094" s="35"/>
      <c r="I1094" s="35"/>
      <c r="J1094" s="35"/>
      <c r="K1094" s="35"/>
      <c r="L1094" s="35"/>
      <c r="M1094" s="35"/>
      <c r="N1094" s="35"/>
      <c r="O1094" s="35"/>
      <c r="P1094" s="35"/>
      <c r="Q1094" s="35"/>
      <c r="R1094" s="35"/>
    </row>
    <row r="1095" spans="6:18" ht="9.9499999999999993" customHeight="1">
      <c r="F1095" s="35"/>
      <c r="G1095" s="35"/>
      <c r="H1095" s="35"/>
      <c r="I1095" s="35"/>
      <c r="J1095" s="35"/>
      <c r="K1095" s="35"/>
      <c r="L1095" s="35"/>
      <c r="M1095" s="35"/>
      <c r="N1095" s="35"/>
      <c r="O1095" s="35"/>
      <c r="P1095" s="35"/>
      <c r="Q1095" s="35"/>
      <c r="R1095" s="35"/>
    </row>
    <row r="1096" spans="6:18" ht="9.9499999999999993" customHeight="1">
      <c r="F1096" s="35"/>
      <c r="G1096" s="35"/>
      <c r="H1096" s="35"/>
      <c r="I1096" s="35"/>
      <c r="J1096" s="35"/>
      <c r="K1096" s="35"/>
      <c r="L1096" s="35"/>
      <c r="M1096" s="35"/>
      <c r="N1096" s="35"/>
      <c r="O1096" s="35"/>
      <c r="P1096" s="35"/>
      <c r="Q1096" s="35"/>
      <c r="R1096" s="35"/>
    </row>
    <row r="1097" spans="6:18" ht="9.9499999999999993" customHeight="1">
      <c r="F1097" s="35"/>
      <c r="G1097" s="35"/>
      <c r="H1097" s="35"/>
      <c r="I1097" s="35"/>
      <c r="J1097" s="35"/>
      <c r="K1097" s="35"/>
      <c r="L1097" s="35"/>
      <c r="M1097" s="35"/>
      <c r="N1097" s="35"/>
      <c r="O1097" s="35"/>
      <c r="P1097" s="35"/>
      <c r="Q1097" s="35"/>
      <c r="R1097" s="35"/>
    </row>
    <row r="1098" spans="6:18" ht="9.9499999999999993" customHeight="1">
      <c r="F1098" s="35"/>
      <c r="G1098" s="35"/>
      <c r="H1098" s="35"/>
      <c r="I1098" s="35"/>
      <c r="J1098" s="35"/>
      <c r="K1098" s="35"/>
      <c r="L1098" s="35"/>
      <c r="M1098" s="35"/>
      <c r="N1098" s="35"/>
      <c r="O1098" s="35"/>
      <c r="P1098" s="35"/>
      <c r="Q1098" s="35"/>
      <c r="R1098" s="35"/>
    </row>
    <row r="1099" spans="6:18" ht="9.9499999999999993" customHeight="1">
      <c r="F1099" s="35"/>
      <c r="G1099" s="35"/>
      <c r="H1099" s="35"/>
      <c r="I1099" s="35"/>
      <c r="J1099" s="35"/>
      <c r="K1099" s="35"/>
      <c r="L1099" s="35"/>
      <c r="M1099" s="35"/>
      <c r="N1099" s="35"/>
      <c r="O1099" s="35"/>
      <c r="P1099" s="35"/>
      <c r="Q1099" s="35"/>
      <c r="R1099" s="35"/>
    </row>
    <row r="1100" spans="6:18" ht="9.9499999999999993" customHeight="1">
      <c r="F1100" s="35"/>
      <c r="G1100" s="35"/>
      <c r="H1100" s="35"/>
      <c r="I1100" s="35"/>
      <c r="J1100" s="35"/>
      <c r="K1100" s="35"/>
      <c r="L1100" s="35"/>
      <c r="M1100" s="35"/>
      <c r="N1100" s="35"/>
      <c r="O1100" s="35"/>
      <c r="P1100" s="35"/>
      <c r="Q1100" s="35"/>
      <c r="R1100" s="35"/>
    </row>
    <row r="1101" spans="6:18" ht="9.9499999999999993" customHeight="1">
      <c r="F1101" s="35"/>
      <c r="G1101" s="35"/>
      <c r="H1101" s="35"/>
      <c r="I1101" s="35"/>
      <c r="J1101" s="35"/>
      <c r="K1101" s="35"/>
      <c r="L1101" s="35"/>
      <c r="M1101" s="35"/>
      <c r="N1101" s="35"/>
      <c r="O1101" s="35"/>
      <c r="P1101" s="35"/>
      <c r="Q1101" s="35"/>
      <c r="R1101" s="35"/>
    </row>
    <row r="1102" spans="6:18" ht="9.9499999999999993" customHeight="1">
      <c r="F1102" s="35"/>
      <c r="G1102" s="35"/>
      <c r="H1102" s="35"/>
      <c r="I1102" s="35"/>
      <c r="J1102" s="35"/>
      <c r="K1102" s="35"/>
      <c r="L1102" s="35"/>
      <c r="M1102" s="35"/>
      <c r="N1102" s="35"/>
      <c r="O1102" s="35"/>
      <c r="P1102" s="35"/>
      <c r="Q1102" s="35"/>
      <c r="R1102" s="35"/>
    </row>
    <row r="1103" spans="6:18" ht="9.9499999999999993" customHeight="1">
      <c r="F1103" s="35"/>
      <c r="G1103" s="35"/>
      <c r="H1103" s="35"/>
      <c r="I1103" s="35"/>
      <c r="J1103" s="35"/>
      <c r="K1103" s="35"/>
      <c r="L1103" s="35"/>
      <c r="M1103" s="35"/>
      <c r="N1103" s="35"/>
      <c r="O1103" s="35"/>
      <c r="P1103" s="35"/>
      <c r="Q1103" s="35"/>
      <c r="R1103" s="35"/>
    </row>
    <row r="1104" spans="6:18" ht="9.9499999999999993" customHeight="1">
      <c r="F1104" s="35"/>
      <c r="G1104" s="35"/>
      <c r="H1104" s="35"/>
      <c r="I1104" s="35"/>
      <c r="J1104" s="35"/>
      <c r="K1104" s="35"/>
      <c r="L1104" s="35"/>
      <c r="M1104" s="35"/>
      <c r="N1104" s="35"/>
      <c r="O1104" s="35"/>
      <c r="P1104" s="35"/>
      <c r="Q1104" s="35"/>
      <c r="R1104" s="35"/>
    </row>
    <row r="1105" spans="6:18" ht="9.9499999999999993" customHeight="1">
      <c r="F1105" s="35"/>
      <c r="G1105" s="35"/>
      <c r="H1105" s="35"/>
      <c r="I1105" s="35"/>
      <c r="J1105" s="35"/>
      <c r="K1105" s="35"/>
      <c r="L1105" s="35"/>
      <c r="M1105" s="35"/>
      <c r="N1105" s="35"/>
      <c r="O1105" s="35"/>
      <c r="P1105" s="35"/>
      <c r="Q1105" s="35"/>
      <c r="R1105" s="35"/>
    </row>
    <row r="1106" spans="6:18" ht="9.9499999999999993" customHeight="1">
      <c r="F1106" s="35"/>
      <c r="G1106" s="35"/>
      <c r="H1106" s="35"/>
      <c r="I1106" s="35"/>
      <c r="J1106" s="35"/>
      <c r="K1106" s="35"/>
      <c r="L1106" s="35"/>
      <c r="M1106" s="35"/>
      <c r="N1106" s="35"/>
      <c r="O1106" s="35"/>
      <c r="P1106" s="35"/>
      <c r="Q1106" s="35"/>
      <c r="R1106" s="35"/>
    </row>
    <row r="1107" spans="6:18" ht="9.9499999999999993" customHeight="1">
      <c r="F1107" s="35"/>
      <c r="G1107" s="35"/>
      <c r="H1107" s="35"/>
      <c r="I1107" s="35"/>
      <c r="J1107" s="35"/>
      <c r="K1107" s="35"/>
      <c r="L1107" s="35"/>
      <c r="M1107" s="35"/>
      <c r="N1107" s="35"/>
      <c r="O1107" s="35"/>
      <c r="P1107" s="35"/>
      <c r="Q1107" s="35"/>
      <c r="R1107" s="35"/>
    </row>
    <row r="1108" spans="6:18" ht="9.9499999999999993" customHeight="1">
      <c r="F1108" s="35"/>
      <c r="G1108" s="35"/>
      <c r="H1108" s="35"/>
      <c r="I1108" s="35"/>
      <c r="J1108" s="35"/>
      <c r="K1108" s="35"/>
      <c r="L1108" s="35"/>
      <c r="M1108" s="35"/>
      <c r="N1108" s="35"/>
      <c r="O1108" s="35"/>
      <c r="P1108" s="35"/>
      <c r="Q1108" s="35"/>
      <c r="R1108" s="35"/>
    </row>
    <row r="1109" spans="6:18" ht="9.9499999999999993" customHeight="1">
      <c r="F1109" s="35"/>
      <c r="G1109" s="35"/>
      <c r="H1109" s="35"/>
      <c r="I1109" s="35"/>
      <c r="J1109" s="35"/>
      <c r="K1109" s="35"/>
      <c r="L1109" s="35"/>
      <c r="M1109" s="35"/>
      <c r="N1109" s="35"/>
      <c r="O1109" s="35"/>
      <c r="P1109" s="35"/>
      <c r="Q1109" s="35"/>
      <c r="R1109" s="35"/>
    </row>
    <row r="1110" spans="6:18" ht="9.9499999999999993" customHeight="1">
      <c r="F1110" s="35"/>
      <c r="G1110" s="35"/>
      <c r="H1110" s="35"/>
      <c r="I1110" s="35"/>
      <c r="J1110" s="35"/>
      <c r="K1110" s="35"/>
      <c r="L1110" s="35"/>
      <c r="M1110" s="35"/>
      <c r="N1110" s="35"/>
      <c r="O1110" s="35"/>
      <c r="P1110" s="35"/>
      <c r="Q1110" s="35"/>
      <c r="R1110" s="35"/>
    </row>
    <row r="1111" spans="6:18" ht="9.9499999999999993" customHeight="1">
      <c r="F1111" s="35"/>
      <c r="G1111" s="35"/>
      <c r="H1111" s="35"/>
      <c r="I1111" s="35"/>
      <c r="J1111" s="35"/>
      <c r="K1111" s="35"/>
      <c r="L1111" s="35"/>
      <c r="M1111" s="35"/>
      <c r="N1111" s="35"/>
      <c r="O1111" s="35"/>
      <c r="P1111" s="35"/>
      <c r="Q1111" s="35"/>
      <c r="R1111" s="35"/>
    </row>
    <row r="1112" spans="6:18" ht="9.9499999999999993" customHeight="1">
      <c r="F1112" s="35"/>
      <c r="G1112" s="35"/>
      <c r="H1112" s="35"/>
      <c r="I1112" s="35"/>
      <c r="J1112" s="35"/>
      <c r="K1112" s="35"/>
      <c r="L1112" s="35"/>
      <c r="M1112" s="35"/>
      <c r="N1112" s="35"/>
      <c r="O1112" s="35"/>
      <c r="P1112" s="35"/>
      <c r="Q1112" s="35"/>
      <c r="R1112" s="35"/>
    </row>
    <row r="1113" spans="6:18" ht="9.9499999999999993" customHeight="1">
      <c r="F1113" s="35"/>
      <c r="G1113" s="35"/>
      <c r="H1113" s="35"/>
      <c r="I1113" s="35"/>
      <c r="J1113" s="35"/>
      <c r="K1113" s="35"/>
      <c r="L1113" s="35"/>
      <c r="M1113" s="35"/>
      <c r="N1113" s="35"/>
      <c r="O1113" s="35"/>
      <c r="P1113" s="35"/>
      <c r="Q1113" s="35"/>
      <c r="R1113" s="35"/>
    </row>
    <row r="1114" spans="6:18" ht="9.9499999999999993" customHeight="1">
      <c r="F1114" s="35"/>
      <c r="G1114" s="35"/>
      <c r="H1114" s="35"/>
      <c r="I1114" s="35"/>
      <c r="J1114" s="35"/>
      <c r="K1114" s="35"/>
      <c r="L1114" s="35"/>
      <c r="M1114" s="35"/>
      <c r="N1114" s="35"/>
      <c r="O1114" s="35"/>
      <c r="P1114" s="35"/>
      <c r="Q1114" s="35"/>
      <c r="R1114" s="35"/>
    </row>
    <row r="1115" spans="6:18" ht="9.9499999999999993" customHeight="1">
      <c r="F1115" s="35"/>
      <c r="G1115" s="35"/>
      <c r="H1115" s="35"/>
      <c r="I1115" s="35"/>
      <c r="J1115" s="35"/>
      <c r="K1115" s="35"/>
      <c r="L1115" s="35"/>
      <c r="M1115" s="35"/>
      <c r="N1115" s="35"/>
      <c r="O1115" s="35"/>
      <c r="P1115" s="35"/>
      <c r="Q1115" s="35"/>
      <c r="R1115" s="35"/>
    </row>
    <row r="1116" spans="6:18" ht="9.9499999999999993" customHeight="1">
      <c r="F1116" s="35"/>
      <c r="G1116" s="35"/>
      <c r="H1116" s="35"/>
      <c r="I1116" s="35"/>
      <c r="J1116" s="35"/>
      <c r="K1116" s="35"/>
      <c r="L1116" s="35"/>
      <c r="M1116" s="35"/>
      <c r="N1116" s="35"/>
      <c r="O1116" s="35"/>
      <c r="P1116" s="35"/>
      <c r="Q1116" s="35"/>
      <c r="R1116" s="35"/>
    </row>
    <row r="1117" spans="6:18" ht="9.9499999999999993" customHeight="1">
      <c r="F1117" s="35"/>
      <c r="G1117" s="35"/>
      <c r="H1117" s="35"/>
      <c r="I1117" s="35"/>
      <c r="J1117" s="35"/>
      <c r="K1117" s="35"/>
      <c r="L1117" s="35"/>
      <c r="M1117" s="35"/>
      <c r="N1117" s="35"/>
      <c r="O1117" s="35"/>
      <c r="P1117" s="35"/>
      <c r="Q1117" s="35"/>
      <c r="R1117" s="35"/>
    </row>
    <row r="1118" spans="6:18" ht="9.9499999999999993" customHeight="1">
      <c r="F1118" s="35"/>
      <c r="G1118" s="35"/>
      <c r="H1118" s="35"/>
      <c r="I1118" s="35"/>
      <c r="J1118" s="35"/>
      <c r="K1118" s="35"/>
      <c r="L1118" s="35"/>
      <c r="M1118" s="35"/>
      <c r="N1118" s="35"/>
      <c r="O1118" s="35"/>
      <c r="P1118" s="35"/>
      <c r="Q1118" s="35"/>
      <c r="R1118" s="35"/>
    </row>
    <row r="1119" spans="6:18" ht="9.9499999999999993" customHeight="1">
      <c r="F1119" s="35"/>
      <c r="G1119" s="35"/>
      <c r="H1119" s="35"/>
      <c r="I1119" s="35"/>
      <c r="J1119" s="35"/>
      <c r="K1119" s="35"/>
      <c r="L1119" s="35"/>
      <c r="M1119" s="35"/>
      <c r="N1119" s="35"/>
      <c r="O1119" s="35"/>
      <c r="P1119" s="35"/>
      <c r="Q1119" s="35"/>
      <c r="R1119" s="35"/>
    </row>
    <row r="1120" spans="6:18" ht="9.9499999999999993" customHeight="1">
      <c r="F1120" s="35"/>
      <c r="G1120" s="35"/>
      <c r="H1120" s="35"/>
      <c r="I1120" s="35"/>
      <c r="J1120" s="35"/>
      <c r="K1120" s="35"/>
      <c r="L1120" s="35"/>
      <c r="M1120" s="35"/>
      <c r="N1120" s="35"/>
      <c r="O1120" s="35"/>
      <c r="P1120" s="35"/>
      <c r="Q1120" s="35"/>
      <c r="R1120" s="35"/>
    </row>
    <row r="1121" spans="6:18" ht="9.9499999999999993" customHeight="1">
      <c r="F1121" s="35"/>
      <c r="G1121" s="35"/>
      <c r="H1121" s="35"/>
      <c r="I1121" s="35"/>
      <c r="J1121" s="35"/>
      <c r="K1121" s="35"/>
      <c r="L1121" s="35"/>
      <c r="M1121" s="35"/>
      <c r="N1121" s="35"/>
      <c r="O1121" s="35"/>
      <c r="P1121" s="35"/>
      <c r="Q1121" s="35"/>
      <c r="R1121" s="35"/>
    </row>
    <row r="1122" spans="6:18" ht="9.9499999999999993" customHeight="1">
      <c r="F1122" s="35"/>
      <c r="G1122" s="35"/>
      <c r="H1122" s="35"/>
      <c r="I1122" s="35"/>
      <c r="J1122" s="35"/>
      <c r="K1122" s="35"/>
      <c r="L1122" s="35"/>
      <c r="M1122" s="35"/>
      <c r="N1122" s="35"/>
      <c r="O1122" s="35"/>
      <c r="P1122" s="35"/>
      <c r="Q1122" s="35"/>
      <c r="R1122" s="35"/>
    </row>
    <row r="1123" spans="6:18" ht="9.9499999999999993" customHeight="1">
      <c r="F1123" s="35"/>
      <c r="G1123" s="35"/>
      <c r="H1123" s="35"/>
      <c r="I1123" s="35"/>
      <c r="J1123" s="35"/>
      <c r="K1123" s="35"/>
      <c r="L1123" s="35"/>
      <c r="M1123" s="35"/>
      <c r="N1123" s="35"/>
      <c r="O1123" s="35"/>
      <c r="P1123" s="35"/>
      <c r="Q1123" s="35"/>
      <c r="R1123" s="35"/>
    </row>
    <row r="1124" spans="6:18" ht="9.9499999999999993" customHeight="1">
      <c r="F1124" s="35"/>
      <c r="G1124" s="35"/>
      <c r="H1124" s="35"/>
      <c r="I1124" s="35"/>
      <c r="J1124" s="35"/>
      <c r="K1124" s="35"/>
      <c r="L1124" s="35"/>
      <c r="M1124" s="35"/>
      <c r="N1124" s="35"/>
      <c r="O1124" s="35"/>
      <c r="P1124" s="35"/>
      <c r="Q1124" s="35"/>
      <c r="R1124" s="35"/>
    </row>
    <row r="1125" spans="6:18" ht="9.9499999999999993" customHeight="1">
      <c r="F1125" s="35"/>
      <c r="G1125" s="35"/>
      <c r="H1125" s="35"/>
      <c r="I1125" s="35"/>
      <c r="J1125" s="35"/>
      <c r="K1125" s="35"/>
      <c r="L1125" s="35"/>
      <c r="M1125" s="35"/>
      <c r="N1125" s="35"/>
      <c r="O1125" s="35"/>
      <c r="P1125" s="35"/>
      <c r="Q1125" s="35"/>
      <c r="R1125" s="35"/>
    </row>
    <row r="1126" spans="6:18" ht="9.9499999999999993" customHeight="1">
      <c r="F1126" s="35"/>
      <c r="G1126" s="35"/>
      <c r="H1126" s="35"/>
      <c r="I1126" s="35"/>
      <c r="J1126" s="35"/>
      <c r="K1126" s="35"/>
      <c r="L1126" s="35"/>
      <c r="M1126" s="35"/>
      <c r="N1126" s="35"/>
      <c r="O1126" s="35"/>
      <c r="P1126" s="35"/>
      <c r="Q1126" s="35"/>
      <c r="R1126" s="35"/>
    </row>
    <row r="1127" spans="6:18" ht="9.9499999999999993" customHeight="1">
      <c r="F1127" s="35"/>
      <c r="G1127" s="35"/>
      <c r="H1127" s="35"/>
      <c r="I1127" s="35"/>
      <c r="J1127" s="35"/>
      <c r="K1127" s="35"/>
      <c r="L1127" s="35"/>
      <c r="M1127" s="35"/>
      <c r="N1127" s="35"/>
      <c r="O1127" s="35"/>
      <c r="P1127" s="35"/>
      <c r="Q1127" s="35"/>
      <c r="R1127" s="35"/>
    </row>
    <row r="1128" spans="6:18" ht="9.9499999999999993" customHeight="1">
      <c r="F1128" s="35"/>
      <c r="G1128" s="35"/>
      <c r="H1128" s="35"/>
      <c r="I1128" s="35"/>
      <c r="J1128" s="35"/>
      <c r="K1128" s="35"/>
      <c r="L1128" s="35"/>
      <c r="M1128" s="35"/>
      <c r="N1128" s="35"/>
      <c r="O1128" s="35"/>
      <c r="P1128" s="35"/>
      <c r="Q1128" s="35"/>
      <c r="R1128" s="35"/>
    </row>
    <row r="1129" spans="6:18" ht="9.9499999999999993" customHeight="1">
      <c r="F1129" s="35"/>
      <c r="G1129" s="35"/>
      <c r="H1129" s="35"/>
      <c r="I1129" s="35"/>
      <c r="J1129" s="35"/>
      <c r="K1129" s="35"/>
      <c r="L1129" s="35"/>
      <c r="M1129" s="35"/>
      <c r="N1129" s="35"/>
      <c r="O1129" s="35"/>
      <c r="P1129" s="35"/>
      <c r="Q1129" s="35"/>
      <c r="R1129" s="35"/>
    </row>
    <row r="1130" spans="6:18" ht="9.9499999999999993" customHeight="1">
      <c r="F1130" s="35"/>
      <c r="G1130" s="35"/>
      <c r="H1130" s="35"/>
      <c r="I1130" s="35"/>
      <c r="J1130" s="35"/>
      <c r="K1130" s="35"/>
      <c r="L1130" s="35"/>
      <c r="M1130" s="35"/>
      <c r="N1130" s="35"/>
      <c r="O1130" s="35"/>
      <c r="P1130" s="35"/>
      <c r="Q1130" s="35"/>
      <c r="R1130" s="35"/>
    </row>
    <row r="1131" spans="6:18" ht="9.9499999999999993" customHeight="1">
      <c r="F1131" s="35"/>
      <c r="G1131" s="35"/>
      <c r="H1131" s="35"/>
      <c r="I1131" s="35"/>
      <c r="J1131" s="35"/>
      <c r="K1131" s="35"/>
      <c r="L1131" s="35"/>
      <c r="M1131" s="35"/>
      <c r="N1131" s="35"/>
      <c r="O1131" s="35"/>
      <c r="P1131" s="35"/>
      <c r="Q1131" s="35"/>
      <c r="R1131" s="35"/>
    </row>
    <row r="1132" spans="6:18" ht="9.9499999999999993" customHeight="1">
      <c r="F1132" s="35"/>
      <c r="G1132" s="35"/>
      <c r="H1132" s="35"/>
      <c r="I1132" s="35"/>
      <c r="J1132" s="35"/>
      <c r="K1132" s="35"/>
      <c r="L1132" s="35"/>
      <c r="M1132" s="35"/>
      <c r="N1132" s="35"/>
      <c r="O1132" s="35"/>
      <c r="P1132" s="35"/>
      <c r="Q1132" s="35"/>
      <c r="R1132" s="35"/>
    </row>
    <row r="1133" spans="6:18" ht="9.9499999999999993" customHeight="1">
      <c r="F1133" s="35"/>
      <c r="G1133" s="35"/>
      <c r="H1133" s="35"/>
      <c r="I1133" s="35"/>
      <c r="J1133" s="35"/>
      <c r="K1133" s="35"/>
      <c r="L1133" s="35"/>
      <c r="M1133" s="35"/>
      <c r="N1133" s="35"/>
      <c r="O1133" s="35"/>
      <c r="P1133" s="35"/>
      <c r="Q1133" s="35"/>
      <c r="R1133" s="35"/>
    </row>
    <row r="1134" spans="6:18" ht="9.9499999999999993" customHeight="1">
      <c r="F1134" s="35"/>
      <c r="G1134" s="35"/>
      <c r="H1134" s="35"/>
      <c r="I1134" s="35"/>
      <c r="J1134" s="35"/>
      <c r="K1134" s="35"/>
      <c r="L1134" s="35"/>
      <c r="M1134" s="35"/>
      <c r="N1134" s="35"/>
      <c r="O1134" s="35"/>
      <c r="P1134" s="35"/>
      <c r="Q1134" s="35"/>
      <c r="R1134" s="35"/>
    </row>
    <row r="1135" spans="6:18" ht="9.9499999999999993" customHeight="1">
      <c r="F1135" s="35"/>
      <c r="G1135" s="35"/>
      <c r="H1135" s="35"/>
      <c r="I1135" s="35"/>
      <c r="J1135" s="35"/>
      <c r="K1135" s="35"/>
      <c r="L1135" s="35"/>
      <c r="M1135" s="35"/>
      <c r="N1135" s="35"/>
      <c r="O1135" s="35"/>
      <c r="P1135" s="35"/>
      <c r="Q1135" s="35"/>
      <c r="R1135" s="35"/>
    </row>
    <row r="1136" spans="6:18" ht="9.9499999999999993" customHeight="1">
      <c r="F1136" s="35"/>
      <c r="G1136" s="35"/>
      <c r="H1136" s="35"/>
      <c r="I1136" s="35"/>
      <c r="J1136" s="35"/>
      <c r="K1136" s="35"/>
      <c r="L1136" s="35"/>
      <c r="M1136" s="35"/>
      <c r="N1136" s="35"/>
      <c r="O1136" s="35"/>
      <c r="P1136" s="35"/>
      <c r="Q1136" s="35"/>
      <c r="R1136" s="35"/>
    </row>
    <row r="1137" spans="6:18" ht="9.9499999999999993" customHeight="1">
      <c r="F1137" s="35"/>
      <c r="G1137" s="35"/>
      <c r="H1137" s="35"/>
      <c r="I1137" s="35"/>
      <c r="J1137" s="35"/>
      <c r="K1137" s="35"/>
      <c r="L1137" s="35"/>
      <c r="M1137" s="35"/>
      <c r="N1137" s="35"/>
      <c r="O1137" s="35"/>
      <c r="P1137" s="35"/>
      <c r="Q1137" s="35"/>
      <c r="R1137" s="35"/>
    </row>
    <row r="1138" spans="6:18" ht="9.9499999999999993" customHeight="1">
      <c r="F1138" s="35"/>
      <c r="G1138" s="35"/>
      <c r="H1138" s="35"/>
      <c r="I1138" s="35"/>
      <c r="J1138" s="35"/>
      <c r="K1138" s="35"/>
      <c r="L1138" s="35"/>
      <c r="M1138" s="35"/>
      <c r="N1138" s="35"/>
      <c r="O1138" s="35"/>
      <c r="P1138" s="35"/>
      <c r="Q1138" s="35"/>
      <c r="R1138" s="35"/>
    </row>
    <row r="1139" spans="6:18" ht="9.9499999999999993" customHeight="1">
      <c r="F1139" s="35"/>
      <c r="G1139" s="35"/>
      <c r="H1139" s="35"/>
      <c r="I1139" s="35"/>
      <c r="J1139" s="35"/>
      <c r="K1139" s="35"/>
      <c r="L1139" s="35"/>
      <c r="M1139" s="35"/>
      <c r="N1139" s="35"/>
      <c r="O1139" s="35"/>
      <c r="P1139" s="35"/>
      <c r="Q1139" s="35"/>
      <c r="R1139" s="35"/>
    </row>
    <row r="1140" spans="6:18" ht="9.9499999999999993" customHeight="1">
      <c r="F1140" s="35"/>
      <c r="G1140" s="35"/>
      <c r="H1140" s="35"/>
      <c r="I1140" s="35"/>
      <c r="J1140" s="35"/>
      <c r="K1140" s="35"/>
      <c r="L1140" s="35"/>
      <c r="M1140" s="35"/>
      <c r="N1140" s="35"/>
      <c r="O1140" s="35"/>
      <c r="P1140" s="35"/>
      <c r="Q1140" s="35"/>
      <c r="R1140" s="35"/>
    </row>
    <row r="1141" spans="6:18" ht="9.9499999999999993" customHeight="1">
      <c r="F1141" s="35"/>
      <c r="G1141" s="35"/>
      <c r="H1141" s="35"/>
      <c r="I1141" s="35"/>
      <c r="J1141" s="35"/>
      <c r="K1141" s="35"/>
      <c r="L1141" s="35"/>
      <c r="M1141" s="35"/>
      <c r="N1141" s="35"/>
      <c r="O1141" s="35"/>
      <c r="P1141" s="35"/>
      <c r="Q1141" s="35"/>
      <c r="R1141" s="35"/>
    </row>
    <row r="1142" spans="6:18" ht="9.9499999999999993" customHeight="1">
      <c r="F1142" s="35"/>
      <c r="G1142" s="35"/>
      <c r="H1142" s="35"/>
      <c r="I1142" s="35"/>
      <c r="J1142" s="35"/>
      <c r="K1142" s="35"/>
      <c r="L1142" s="35"/>
      <c r="M1142" s="35"/>
      <c r="N1142" s="35"/>
      <c r="O1142" s="35"/>
      <c r="P1142" s="35"/>
      <c r="Q1142" s="35"/>
      <c r="R1142" s="35"/>
    </row>
    <row r="1143" spans="6:18" ht="9.9499999999999993" customHeight="1">
      <c r="F1143" s="35"/>
      <c r="G1143" s="35"/>
      <c r="H1143" s="35"/>
      <c r="I1143" s="35"/>
      <c r="J1143" s="35"/>
      <c r="K1143" s="35"/>
      <c r="L1143" s="35"/>
      <c r="M1143" s="35"/>
      <c r="N1143" s="35"/>
      <c r="O1143" s="35"/>
      <c r="P1143" s="35"/>
      <c r="Q1143" s="35"/>
      <c r="R1143" s="35"/>
    </row>
    <row r="1144" spans="6:18" ht="9.9499999999999993" customHeight="1">
      <c r="F1144" s="35"/>
      <c r="G1144" s="35"/>
      <c r="H1144" s="35"/>
      <c r="I1144" s="35"/>
      <c r="J1144" s="35"/>
      <c r="K1144" s="35"/>
      <c r="L1144" s="35"/>
      <c r="M1144" s="35"/>
      <c r="N1144" s="35"/>
      <c r="O1144" s="35"/>
      <c r="P1144" s="35"/>
      <c r="Q1144" s="35"/>
      <c r="R1144" s="35"/>
    </row>
    <row r="1145" spans="6:18" ht="9.9499999999999993" customHeight="1">
      <c r="F1145" s="35"/>
      <c r="G1145" s="35"/>
      <c r="H1145" s="35"/>
      <c r="I1145" s="35"/>
      <c r="J1145" s="35"/>
      <c r="K1145" s="35"/>
      <c r="L1145" s="35"/>
      <c r="M1145" s="35"/>
      <c r="N1145" s="35"/>
      <c r="O1145" s="35"/>
      <c r="P1145" s="35"/>
      <c r="Q1145" s="35"/>
      <c r="R1145" s="35"/>
    </row>
    <row r="1146" spans="6:18" ht="9.9499999999999993" customHeight="1">
      <c r="F1146" s="35"/>
      <c r="G1146" s="35"/>
      <c r="H1146" s="35"/>
      <c r="I1146" s="35"/>
      <c r="J1146" s="35"/>
      <c r="K1146" s="35"/>
      <c r="L1146" s="35"/>
      <c r="M1146" s="35"/>
      <c r="N1146" s="35"/>
      <c r="O1146" s="35"/>
      <c r="P1146" s="35"/>
      <c r="Q1146" s="35"/>
      <c r="R1146" s="35"/>
    </row>
    <row r="1147" spans="6:18" ht="9.9499999999999993" customHeight="1">
      <c r="F1147" s="35"/>
      <c r="G1147" s="35"/>
      <c r="H1147" s="35"/>
      <c r="I1147" s="35"/>
      <c r="J1147" s="35"/>
      <c r="K1147" s="35"/>
      <c r="L1147" s="35"/>
      <c r="M1147" s="35"/>
      <c r="N1147" s="35"/>
      <c r="O1147" s="35"/>
      <c r="P1147" s="35"/>
      <c r="Q1147" s="35"/>
      <c r="R1147" s="35"/>
    </row>
    <row r="1148" spans="6:18" ht="9.9499999999999993" customHeight="1">
      <c r="F1148" s="35"/>
      <c r="G1148" s="35"/>
      <c r="H1148" s="35"/>
      <c r="I1148" s="35"/>
      <c r="J1148" s="35"/>
      <c r="K1148" s="35"/>
      <c r="L1148" s="35"/>
      <c r="M1148" s="35"/>
      <c r="N1148" s="35"/>
      <c r="O1148" s="35"/>
      <c r="P1148" s="35"/>
      <c r="Q1148" s="35"/>
      <c r="R1148" s="35"/>
    </row>
    <row r="1149" spans="6:18" ht="9.9499999999999993" customHeight="1">
      <c r="F1149" s="35"/>
      <c r="G1149" s="35"/>
      <c r="H1149" s="35"/>
      <c r="I1149" s="35"/>
      <c r="J1149" s="35"/>
      <c r="K1149" s="35"/>
      <c r="L1149" s="35"/>
      <c r="M1149" s="35"/>
      <c r="N1149" s="35"/>
      <c r="O1149" s="35"/>
      <c r="P1149" s="35"/>
      <c r="Q1149" s="35"/>
      <c r="R1149" s="35"/>
    </row>
    <row r="1150" spans="6:18" ht="9.9499999999999993" customHeight="1">
      <c r="F1150" s="35"/>
      <c r="G1150" s="35"/>
      <c r="H1150" s="35"/>
      <c r="I1150" s="35"/>
      <c r="J1150" s="35"/>
      <c r="K1150" s="35"/>
      <c r="L1150" s="35"/>
      <c r="M1150" s="35"/>
      <c r="N1150" s="35"/>
      <c r="O1150" s="35"/>
      <c r="P1150" s="35"/>
      <c r="Q1150" s="35"/>
      <c r="R1150" s="35"/>
    </row>
    <row r="1151" spans="6:18" ht="9.9499999999999993" customHeight="1">
      <c r="F1151" s="35"/>
      <c r="G1151" s="35"/>
      <c r="H1151" s="35"/>
      <c r="I1151" s="35"/>
      <c r="J1151" s="35"/>
      <c r="K1151" s="35"/>
      <c r="L1151" s="35"/>
      <c r="M1151" s="35"/>
      <c r="N1151" s="35"/>
      <c r="O1151" s="35"/>
      <c r="P1151" s="35"/>
      <c r="Q1151" s="35"/>
      <c r="R1151" s="35"/>
    </row>
    <row r="1152" spans="6:18" ht="9.9499999999999993" customHeight="1">
      <c r="F1152" s="35"/>
      <c r="G1152" s="35"/>
      <c r="H1152" s="35"/>
      <c r="I1152" s="35"/>
      <c r="J1152" s="35"/>
      <c r="K1152" s="35"/>
      <c r="L1152" s="35"/>
      <c r="M1152" s="35"/>
      <c r="N1152" s="35"/>
      <c r="O1152" s="35"/>
      <c r="P1152" s="35"/>
      <c r="Q1152" s="35"/>
      <c r="R1152" s="35"/>
    </row>
    <row r="1153" spans="6:18" ht="9.9499999999999993" customHeight="1">
      <c r="F1153" s="35"/>
      <c r="G1153" s="35"/>
      <c r="H1153" s="35"/>
      <c r="I1153" s="35"/>
      <c r="J1153" s="35"/>
      <c r="K1153" s="35"/>
      <c r="L1153" s="35"/>
      <c r="M1153" s="35"/>
      <c r="N1153" s="35"/>
      <c r="O1153" s="35"/>
      <c r="P1153" s="35"/>
      <c r="Q1153" s="35"/>
      <c r="R1153" s="35"/>
    </row>
    <row r="1154" spans="6:18" ht="9.9499999999999993" customHeight="1">
      <c r="F1154" s="35"/>
      <c r="G1154" s="35"/>
      <c r="H1154" s="35"/>
      <c r="I1154" s="35"/>
      <c r="J1154" s="35"/>
      <c r="K1154" s="35"/>
      <c r="L1154" s="35"/>
      <c r="M1154" s="35"/>
      <c r="N1154" s="35"/>
      <c r="O1154" s="35"/>
      <c r="P1154" s="35"/>
      <c r="Q1154" s="35"/>
      <c r="R1154" s="35"/>
    </row>
    <row r="1155" spans="6:18" ht="9.9499999999999993" customHeight="1">
      <c r="F1155" s="35"/>
      <c r="G1155" s="35"/>
      <c r="H1155" s="35"/>
      <c r="I1155" s="35"/>
      <c r="J1155" s="35"/>
      <c r="K1155" s="35"/>
      <c r="L1155" s="35"/>
      <c r="M1155" s="35"/>
      <c r="N1155" s="35"/>
      <c r="O1155" s="35"/>
      <c r="P1155" s="35"/>
      <c r="Q1155" s="35"/>
      <c r="R1155" s="35"/>
    </row>
    <row r="1156" spans="6:18" ht="9.9499999999999993" customHeight="1">
      <c r="F1156" s="35"/>
      <c r="G1156" s="35"/>
      <c r="H1156" s="35"/>
      <c r="I1156" s="35"/>
      <c r="J1156" s="35"/>
      <c r="K1156" s="35"/>
      <c r="L1156" s="35"/>
      <c r="M1156" s="35"/>
      <c r="N1156" s="35"/>
      <c r="O1156" s="35"/>
      <c r="P1156" s="35"/>
      <c r="Q1156" s="35"/>
      <c r="R1156" s="35"/>
    </row>
    <row r="1157" spans="6:18" ht="9.9499999999999993" customHeight="1">
      <c r="F1157" s="35"/>
      <c r="G1157" s="35"/>
      <c r="H1157" s="35"/>
      <c r="I1157" s="35"/>
      <c r="J1157" s="35"/>
      <c r="K1157" s="35"/>
      <c r="L1157" s="35"/>
      <c r="M1157" s="35"/>
      <c r="N1157" s="35"/>
      <c r="O1157" s="35"/>
      <c r="P1157" s="35"/>
      <c r="Q1157" s="35"/>
      <c r="R1157" s="35"/>
    </row>
    <row r="1158" spans="6:18" ht="9.9499999999999993" customHeight="1">
      <c r="F1158" s="35"/>
      <c r="G1158" s="35"/>
      <c r="H1158" s="35"/>
      <c r="I1158" s="35"/>
      <c r="J1158" s="35"/>
      <c r="K1158" s="35"/>
      <c r="L1158" s="35"/>
      <c r="M1158" s="35"/>
      <c r="N1158" s="35"/>
      <c r="O1158" s="35"/>
      <c r="P1158" s="35"/>
      <c r="Q1158" s="35"/>
      <c r="R1158" s="35"/>
    </row>
    <row r="1159" spans="6:18" ht="9.9499999999999993" customHeight="1">
      <c r="F1159" s="35"/>
      <c r="G1159" s="35"/>
      <c r="H1159" s="35"/>
      <c r="I1159" s="35"/>
      <c r="J1159" s="35"/>
      <c r="K1159" s="35"/>
      <c r="L1159" s="35"/>
      <c r="M1159" s="35"/>
      <c r="N1159" s="35"/>
      <c r="O1159" s="35"/>
      <c r="P1159" s="35"/>
      <c r="Q1159" s="35"/>
      <c r="R1159" s="35"/>
    </row>
    <row r="1160" spans="6:18" ht="9.9499999999999993" customHeight="1">
      <c r="F1160" s="35"/>
      <c r="G1160" s="35"/>
      <c r="H1160" s="35"/>
      <c r="I1160" s="35"/>
      <c r="J1160" s="35"/>
      <c r="K1160" s="35"/>
      <c r="L1160" s="35"/>
      <c r="M1160" s="35"/>
      <c r="N1160" s="35"/>
      <c r="O1160" s="35"/>
      <c r="P1160" s="35"/>
      <c r="Q1160" s="35"/>
      <c r="R1160" s="35"/>
    </row>
    <row r="1161" spans="6:18" ht="9.9499999999999993" customHeight="1">
      <c r="F1161" s="35"/>
      <c r="G1161" s="35"/>
      <c r="H1161" s="35"/>
      <c r="I1161" s="35"/>
      <c r="J1161" s="35"/>
      <c r="K1161" s="35"/>
      <c r="L1161" s="35"/>
      <c r="M1161" s="35"/>
      <c r="N1161" s="35"/>
      <c r="O1161" s="35"/>
      <c r="P1161" s="35"/>
      <c r="Q1161" s="35"/>
      <c r="R1161" s="35"/>
    </row>
    <row r="1162" spans="6:18" ht="9.9499999999999993" customHeight="1">
      <c r="F1162" s="35"/>
      <c r="G1162" s="35"/>
      <c r="H1162" s="35"/>
      <c r="I1162" s="35"/>
      <c r="J1162" s="35"/>
      <c r="K1162" s="35"/>
      <c r="L1162" s="35"/>
      <c r="M1162" s="35"/>
      <c r="N1162" s="35"/>
      <c r="O1162" s="35"/>
      <c r="P1162" s="35"/>
      <c r="Q1162" s="35"/>
      <c r="R1162" s="35"/>
    </row>
    <row r="1163" spans="6:18" ht="9.9499999999999993" customHeight="1">
      <c r="F1163" s="35"/>
      <c r="G1163" s="35"/>
      <c r="H1163" s="35"/>
      <c r="I1163" s="35"/>
      <c r="J1163" s="35"/>
      <c r="K1163" s="35"/>
      <c r="L1163" s="35"/>
      <c r="M1163" s="35"/>
      <c r="N1163" s="35"/>
      <c r="O1163" s="35"/>
      <c r="P1163" s="35"/>
      <c r="Q1163" s="35"/>
      <c r="R1163" s="35"/>
    </row>
    <row r="1164" spans="6:18" ht="9.9499999999999993" customHeight="1">
      <c r="F1164" s="35"/>
      <c r="G1164" s="35"/>
      <c r="H1164" s="35"/>
      <c r="I1164" s="35"/>
      <c r="J1164" s="35"/>
      <c r="K1164" s="35"/>
      <c r="L1164" s="35"/>
      <c r="M1164" s="35"/>
      <c r="N1164" s="35"/>
      <c r="O1164" s="35"/>
      <c r="P1164" s="35"/>
      <c r="Q1164" s="35"/>
      <c r="R1164" s="35"/>
    </row>
    <row r="1165" spans="6:18" ht="9.9499999999999993" customHeight="1">
      <c r="F1165" s="35"/>
      <c r="G1165" s="35"/>
      <c r="H1165" s="35"/>
      <c r="I1165" s="35"/>
      <c r="J1165" s="35"/>
      <c r="K1165" s="35"/>
      <c r="L1165" s="35"/>
      <c r="M1165" s="35"/>
      <c r="N1165" s="35"/>
      <c r="O1165" s="35"/>
      <c r="P1165" s="35"/>
      <c r="Q1165" s="35"/>
      <c r="R1165" s="35"/>
    </row>
    <row r="1166" spans="6:18" ht="9.9499999999999993" customHeight="1">
      <c r="F1166" s="35"/>
      <c r="G1166" s="35"/>
      <c r="H1166" s="35"/>
      <c r="I1166" s="35"/>
      <c r="J1166" s="35"/>
      <c r="K1166" s="35"/>
      <c r="L1166" s="35"/>
      <c r="M1166" s="35"/>
      <c r="N1166" s="35"/>
      <c r="O1166" s="35"/>
      <c r="P1166" s="35"/>
      <c r="Q1166" s="35"/>
      <c r="R1166" s="35"/>
    </row>
    <row r="1167" spans="6:18" ht="9.9499999999999993" customHeight="1">
      <c r="F1167" s="35"/>
      <c r="G1167" s="35"/>
      <c r="H1167" s="35"/>
      <c r="I1167" s="35"/>
      <c r="J1167" s="35"/>
      <c r="K1167" s="35"/>
      <c r="L1167" s="35"/>
      <c r="M1167" s="35"/>
      <c r="N1167" s="35"/>
      <c r="O1167" s="35"/>
      <c r="P1167" s="35"/>
      <c r="Q1167" s="35"/>
      <c r="R1167" s="35"/>
    </row>
    <row r="1168" spans="6:18" ht="9.9499999999999993" customHeight="1">
      <c r="F1168" s="35"/>
      <c r="G1168" s="35"/>
      <c r="H1168" s="35"/>
      <c r="I1168" s="35"/>
      <c r="J1168" s="35"/>
      <c r="K1168" s="35"/>
      <c r="L1168" s="35"/>
      <c r="M1168" s="35"/>
      <c r="N1168" s="35"/>
      <c r="O1168" s="35"/>
      <c r="P1168" s="35"/>
      <c r="Q1168" s="35"/>
      <c r="R1168" s="35"/>
    </row>
    <row r="1169" spans="6:18" ht="9.9499999999999993" customHeight="1">
      <c r="F1169" s="35"/>
      <c r="G1169" s="35"/>
      <c r="H1169" s="35"/>
      <c r="I1169" s="35"/>
      <c r="J1169" s="35"/>
      <c r="K1169" s="35"/>
      <c r="L1169" s="35"/>
      <c r="M1169" s="35"/>
      <c r="N1169" s="35"/>
      <c r="O1169" s="35"/>
      <c r="P1169" s="35"/>
      <c r="Q1169" s="35"/>
      <c r="R1169" s="35"/>
    </row>
    <row r="1170" spans="6:18" ht="9.9499999999999993" customHeight="1">
      <c r="F1170" s="35"/>
      <c r="G1170" s="35"/>
      <c r="H1170" s="35"/>
      <c r="I1170" s="35"/>
      <c r="J1170" s="35"/>
      <c r="K1170" s="35"/>
      <c r="L1170" s="35"/>
      <c r="M1170" s="35"/>
      <c r="N1170" s="35"/>
      <c r="O1170" s="35"/>
      <c r="P1170" s="35"/>
      <c r="Q1170" s="35"/>
      <c r="R1170" s="35"/>
    </row>
    <row r="1171" spans="6:18" ht="9.9499999999999993" customHeight="1">
      <c r="F1171" s="35"/>
      <c r="G1171" s="35"/>
      <c r="H1171" s="35"/>
      <c r="I1171" s="35"/>
      <c r="J1171" s="35"/>
      <c r="K1171" s="35"/>
      <c r="L1171" s="35"/>
      <c r="M1171" s="35"/>
      <c r="N1171" s="35"/>
      <c r="O1171" s="35"/>
      <c r="P1171" s="35"/>
      <c r="Q1171" s="35"/>
      <c r="R1171" s="35"/>
    </row>
    <row r="1172" spans="6:18" ht="9.9499999999999993" customHeight="1">
      <c r="F1172" s="35"/>
      <c r="G1172" s="35"/>
      <c r="H1172" s="35"/>
      <c r="I1172" s="35"/>
      <c r="J1172" s="35"/>
      <c r="K1172" s="35"/>
      <c r="L1172" s="35"/>
      <c r="M1172" s="35"/>
      <c r="N1172" s="35"/>
      <c r="O1172" s="35"/>
      <c r="P1172" s="35"/>
      <c r="Q1172" s="35"/>
      <c r="R1172" s="35"/>
    </row>
    <row r="1173" spans="6:18" ht="9.9499999999999993" customHeight="1">
      <c r="F1173" s="35"/>
      <c r="G1173" s="35"/>
      <c r="H1173" s="35"/>
      <c r="I1173" s="35"/>
      <c r="J1173" s="35"/>
      <c r="K1173" s="35"/>
      <c r="L1173" s="35"/>
      <c r="M1173" s="35"/>
      <c r="N1173" s="35"/>
      <c r="O1173" s="35"/>
      <c r="P1173" s="35"/>
      <c r="Q1173" s="35"/>
      <c r="R1173" s="35"/>
    </row>
    <row r="1174" spans="6:18" ht="9.9499999999999993" customHeight="1">
      <c r="F1174" s="35"/>
      <c r="G1174" s="35"/>
      <c r="H1174" s="35"/>
      <c r="I1174" s="35"/>
      <c r="J1174" s="35"/>
      <c r="K1174" s="35"/>
      <c r="L1174" s="35"/>
      <c r="M1174" s="35"/>
      <c r="N1174" s="35"/>
      <c r="O1174" s="35"/>
      <c r="P1174" s="35"/>
      <c r="Q1174" s="35"/>
      <c r="R1174" s="35"/>
    </row>
    <row r="1175" spans="6:18" ht="9.9499999999999993" customHeight="1">
      <c r="F1175" s="35"/>
      <c r="G1175" s="35"/>
      <c r="H1175" s="35"/>
      <c r="I1175" s="35"/>
      <c r="J1175" s="35"/>
      <c r="K1175" s="35"/>
      <c r="L1175" s="35"/>
      <c r="M1175" s="35"/>
      <c r="N1175" s="35"/>
      <c r="O1175" s="35"/>
      <c r="P1175" s="35"/>
      <c r="Q1175" s="35"/>
      <c r="R1175" s="35"/>
    </row>
    <row r="1176" spans="6:18" ht="9.9499999999999993" customHeight="1">
      <c r="F1176" s="35"/>
      <c r="G1176" s="35"/>
      <c r="H1176" s="35"/>
      <c r="I1176" s="35"/>
      <c r="J1176" s="35"/>
      <c r="K1176" s="35"/>
      <c r="L1176" s="35"/>
      <c r="M1176" s="35"/>
      <c r="N1176" s="35"/>
      <c r="O1176" s="35"/>
      <c r="P1176" s="35"/>
      <c r="Q1176" s="35"/>
      <c r="R1176" s="35"/>
    </row>
    <row r="1177" spans="6:18" ht="9.9499999999999993" customHeight="1">
      <c r="F1177" s="35"/>
      <c r="G1177" s="35"/>
      <c r="H1177" s="35"/>
      <c r="I1177" s="35"/>
      <c r="J1177" s="35"/>
      <c r="K1177" s="35"/>
      <c r="L1177" s="35"/>
      <c r="M1177" s="35"/>
      <c r="N1177" s="35"/>
      <c r="O1177" s="35"/>
      <c r="P1177" s="35"/>
      <c r="Q1177" s="35"/>
      <c r="R1177" s="35"/>
    </row>
    <row r="1178" spans="6:18" ht="9.9499999999999993" customHeight="1">
      <c r="F1178" s="35"/>
      <c r="G1178" s="35"/>
      <c r="H1178" s="35"/>
      <c r="I1178" s="35"/>
      <c r="J1178" s="35"/>
      <c r="K1178" s="35"/>
      <c r="L1178" s="35"/>
      <c r="M1178" s="35"/>
      <c r="N1178" s="35"/>
      <c r="O1178" s="35"/>
      <c r="P1178" s="35"/>
      <c r="Q1178" s="35"/>
      <c r="R1178" s="35"/>
    </row>
    <row r="1179" spans="6:18" ht="9.9499999999999993" customHeight="1">
      <c r="F1179" s="35"/>
      <c r="G1179" s="35"/>
      <c r="H1179" s="35"/>
      <c r="I1179" s="35"/>
      <c r="J1179" s="35"/>
      <c r="K1179" s="35"/>
      <c r="L1179" s="35"/>
      <c r="M1179" s="35"/>
      <c r="N1179" s="35"/>
      <c r="O1179" s="35"/>
      <c r="P1179" s="35"/>
      <c r="Q1179" s="35"/>
      <c r="R1179" s="35"/>
    </row>
    <row r="1180" spans="6:18" ht="9.9499999999999993" customHeight="1">
      <c r="F1180" s="35"/>
      <c r="G1180" s="35"/>
      <c r="H1180" s="35"/>
      <c r="I1180" s="35"/>
      <c r="J1180" s="35"/>
      <c r="K1180" s="35"/>
      <c r="L1180" s="35"/>
      <c r="M1180" s="35"/>
      <c r="N1180" s="35"/>
      <c r="O1180" s="35"/>
      <c r="P1180" s="35"/>
      <c r="Q1180" s="35"/>
      <c r="R1180" s="35"/>
    </row>
    <row r="1181" spans="6:18" ht="9.9499999999999993" customHeight="1">
      <c r="F1181" s="35"/>
      <c r="G1181" s="35"/>
      <c r="H1181" s="35"/>
      <c r="I1181" s="35"/>
      <c r="J1181" s="35"/>
      <c r="K1181" s="35"/>
      <c r="L1181" s="35"/>
      <c r="M1181" s="35"/>
      <c r="N1181" s="35"/>
      <c r="O1181" s="35"/>
      <c r="P1181" s="35"/>
      <c r="Q1181" s="35"/>
      <c r="R1181" s="35"/>
    </row>
    <row r="1182" spans="6:18" ht="9.9499999999999993" customHeight="1">
      <c r="F1182" s="35"/>
      <c r="G1182" s="35"/>
      <c r="H1182" s="35"/>
      <c r="I1182" s="35"/>
      <c r="J1182" s="35"/>
      <c r="K1182" s="35"/>
      <c r="L1182" s="35"/>
      <c r="M1182" s="35"/>
      <c r="N1182" s="35"/>
      <c r="O1182" s="35"/>
      <c r="P1182" s="35"/>
      <c r="Q1182" s="35"/>
      <c r="R1182" s="35"/>
    </row>
    <row r="1183" spans="6:18" ht="9.9499999999999993" customHeight="1">
      <c r="F1183" s="35"/>
      <c r="G1183" s="35"/>
      <c r="H1183" s="35"/>
      <c r="I1183" s="35"/>
      <c r="J1183" s="35"/>
      <c r="K1183" s="35"/>
      <c r="L1183" s="35"/>
      <c r="M1183" s="35"/>
      <c r="N1183" s="35"/>
      <c r="O1183" s="35"/>
      <c r="P1183" s="35"/>
      <c r="Q1183" s="35"/>
      <c r="R1183" s="35"/>
    </row>
    <row r="1184" spans="6:18" ht="9.9499999999999993" customHeight="1">
      <c r="F1184" s="35"/>
      <c r="G1184" s="35"/>
      <c r="H1184" s="35"/>
      <c r="I1184" s="35"/>
      <c r="J1184" s="35"/>
      <c r="K1184" s="35"/>
      <c r="L1184" s="35"/>
      <c r="M1184" s="35"/>
      <c r="N1184" s="35"/>
      <c r="O1184" s="35"/>
      <c r="P1184" s="35"/>
      <c r="Q1184" s="35"/>
      <c r="R1184" s="35"/>
    </row>
    <row r="1185" spans="6:18" ht="9.9499999999999993" customHeight="1">
      <c r="F1185" s="35"/>
      <c r="G1185" s="35"/>
      <c r="H1185" s="35"/>
      <c r="I1185" s="35"/>
      <c r="J1185" s="35"/>
      <c r="K1185" s="35"/>
      <c r="L1185" s="35"/>
      <c r="M1185" s="35"/>
      <c r="N1185" s="35"/>
      <c r="O1185" s="35"/>
      <c r="P1185" s="35"/>
      <c r="Q1185" s="35"/>
      <c r="R1185" s="35"/>
    </row>
    <row r="1186" spans="6:18" ht="9.9499999999999993" customHeight="1">
      <c r="F1186" s="35"/>
      <c r="G1186" s="35"/>
      <c r="H1186" s="35"/>
      <c r="I1186" s="35"/>
      <c r="J1186" s="35"/>
      <c r="K1186" s="35"/>
      <c r="L1186" s="35"/>
      <c r="M1186" s="35"/>
      <c r="N1186" s="35"/>
      <c r="O1186" s="35"/>
      <c r="P1186" s="35"/>
      <c r="Q1186" s="35"/>
      <c r="R1186" s="35"/>
    </row>
    <row r="1187" spans="6:18" ht="9.9499999999999993" customHeight="1">
      <c r="F1187" s="35"/>
      <c r="G1187" s="35"/>
      <c r="H1187" s="35"/>
      <c r="I1187" s="35"/>
      <c r="J1187" s="35"/>
      <c r="K1187" s="35"/>
      <c r="L1187" s="35"/>
      <c r="M1187" s="35"/>
      <c r="N1187" s="35"/>
      <c r="O1187" s="35"/>
      <c r="P1187" s="35"/>
      <c r="Q1187" s="35"/>
      <c r="R1187" s="35"/>
    </row>
    <row r="1188" spans="6:18" ht="9.9499999999999993" customHeight="1">
      <c r="F1188" s="35"/>
      <c r="G1188" s="35"/>
      <c r="H1188" s="35"/>
      <c r="I1188" s="35"/>
      <c r="J1188" s="35"/>
      <c r="K1188" s="35"/>
      <c r="L1188" s="35"/>
      <c r="M1188" s="35"/>
      <c r="N1188" s="35"/>
      <c r="O1188" s="35"/>
      <c r="P1188" s="35"/>
      <c r="Q1188" s="35"/>
      <c r="R1188" s="35"/>
    </row>
    <row r="1189" spans="6:18" ht="9.9499999999999993" customHeight="1">
      <c r="F1189" s="35"/>
      <c r="G1189" s="35"/>
      <c r="H1189" s="35"/>
      <c r="I1189" s="35"/>
      <c r="J1189" s="35"/>
      <c r="K1189" s="35"/>
      <c r="L1189" s="35"/>
      <c r="M1189" s="35"/>
      <c r="N1189" s="35"/>
      <c r="O1189" s="35"/>
      <c r="P1189" s="35"/>
      <c r="Q1189" s="35"/>
      <c r="R1189" s="35"/>
    </row>
    <row r="1190" spans="6:18" ht="9.9499999999999993" customHeight="1">
      <c r="F1190" s="35"/>
      <c r="G1190" s="35"/>
      <c r="H1190" s="35"/>
      <c r="I1190" s="35"/>
      <c r="J1190" s="35"/>
      <c r="K1190" s="35"/>
      <c r="L1190" s="35"/>
      <c r="M1190" s="35"/>
      <c r="N1190" s="35"/>
      <c r="O1190" s="35"/>
      <c r="P1190" s="35"/>
      <c r="Q1190" s="35"/>
      <c r="R1190" s="35"/>
    </row>
    <row r="1191" spans="6:18" ht="9.9499999999999993" customHeight="1">
      <c r="F1191" s="35"/>
      <c r="G1191" s="35"/>
      <c r="H1191" s="35"/>
      <c r="I1191" s="35"/>
      <c r="J1191" s="35"/>
      <c r="K1191" s="35"/>
      <c r="L1191" s="35"/>
      <c r="M1191" s="35"/>
      <c r="N1191" s="35"/>
      <c r="O1191" s="35"/>
      <c r="P1191" s="35"/>
      <c r="Q1191" s="35"/>
      <c r="R1191" s="35"/>
    </row>
    <row r="1192" spans="6:18" ht="9.9499999999999993" customHeight="1">
      <c r="F1192" s="35"/>
      <c r="G1192" s="35"/>
      <c r="H1192" s="35"/>
      <c r="I1192" s="35"/>
      <c r="J1192" s="35"/>
      <c r="K1192" s="35"/>
      <c r="L1192" s="35"/>
      <c r="M1192" s="35"/>
      <c r="N1192" s="35"/>
      <c r="O1192" s="35"/>
      <c r="P1192" s="35"/>
      <c r="Q1192" s="35"/>
      <c r="R1192" s="35"/>
    </row>
    <row r="1193" spans="6:18" ht="9.9499999999999993" customHeight="1">
      <c r="F1193" s="35"/>
      <c r="G1193" s="35"/>
      <c r="H1193" s="35"/>
      <c r="I1193" s="35"/>
      <c r="J1193" s="35"/>
      <c r="K1193" s="35"/>
      <c r="L1193" s="35"/>
      <c r="M1193" s="35"/>
      <c r="N1193" s="35"/>
      <c r="O1193" s="35"/>
      <c r="P1193" s="35"/>
      <c r="Q1193" s="35"/>
      <c r="R1193" s="35"/>
    </row>
    <row r="1194" spans="6:18" ht="9.9499999999999993" customHeight="1">
      <c r="F1194" s="35"/>
      <c r="G1194" s="35"/>
      <c r="H1194" s="35"/>
      <c r="I1194" s="35"/>
      <c r="J1194" s="35"/>
      <c r="K1194" s="35"/>
      <c r="L1194" s="35"/>
      <c r="M1194" s="35"/>
      <c r="N1194" s="35"/>
      <c r="O1194" s="35"/>
      <c r="P1194" s="35"/>
      <c r="Q1194" s="35"/>
      <c r="R1194" s="35"/>
    </row>
    <row r="1195" spans="6:18" ht="9.9499999999999993" customHeight="1">
      <c r="F1195" s="35"/>
      <c r="G1195" s="35"/>
      <c r="H1195" s="35"/>
      <c r="I1195" s="35"/>
      <c r="J1195" s="35"/>
      <c r="K1195" s="35"/>
      <c r="L1195" s="35"/>
      <c r="M1195" s="35"/>
      <c r="N1195" s="35"/>
      <c r="O1195" s="35"/>
      <c r="P1195" s="35"/>
      <c r="Q1195" s="35"/>
      <c r="R1195" s="35"/>
    </row>
    <row r="1196" spans="6:18" ht="9.9499999999999993" customHeight="1">
      <c r="F1196" s="35"/>
      <c r="G1196" s="35"/>
      <c r="H1196" s="35"/>
      <c r="I1196" s="35"/>
      <c r="J1196" s="35"/>
      <c r="K1196" s="35"/>
      <c r="L1196" s="35"/>
      <c r="M1196" s="35"/>
      <c r="N1196" s="35"/>
      <c r="O1196" s="35"/>
      <c r="P1196" s="35"/>
      <c r="Q1196" s="35"/>
      <c r="R1196" s="35"/>
    </row>
    <row r="1197" spans="6:18" ht="9.9499999999999993" customHeight="1">
      <c r="F1197" s="35"/>
      <c r="G1197" s="35"/>
      <c r="H1197" s="35"/>
      <c r="I1197" s="35"/>
      <c r="J1197" s="35"/>
      <c r="K1197" s="35"/>
      <c r="L1197" s="35"/>
      <c r="M1197" s="35"/>
      <c r="N1197" s="35"/>
      <c r="O1197" s="35"/>
      <c r="P1197" s="35"/>
      <c r="Q1197" s="35"/>
      <c r="R1197" s="35"/>
    </row>
    <row r="1198" spans="6:18" ht="9.9499999999999993" customHeight="1">
      <c r="F1198" s="35"/>
      <c r="G1198" s="35"/>
      <c r="H1198" s="35"/>
      <c r="I1198" s="35"/>
      <c r="J1198" s="35"/>
      <c r="K1198" s="35"/>
      <c r="L1198" s="35"/>
      <c r="M1198" s="35"/>
      <c r="N1198" s="35"/>
      <c r="O1198" s="35"/>
      <c r="P1198" s="35"/>
      <c r="Q1198" s="35"/>
      <c r="R1198" s="35"/>
    </row>
    <row r="1199" spans="6:18" ht="9.9499999999999993" customHeight="1">
      <c r="F1199" s="35"/>
      <c r="G1199" s="35"/>
      <c r="H1199" s="35"/>
      <c r="I1199" s="35"/>
      <c r="J1199" s="35"/>
      <c r="K1199" s="35"/>
      <c r="L1199" s="35"/>
      <c r="M1199" s="35"/>
      <c r="N1199" s="35"/>
      <c r="O1199" s="35"/>
      <c r="P1199" s="35"/>
      <c r="Q1199" s="35"/>
      <c r="R1199" s="35"/>
    </row>
    <row r="1200" spans="6:18" ht="9.9499999999999993" customHeight="1">
      <c r="F1200" s="35"/>
      <c r="G1200" s="35"/>
      <c r="H1200" s="35"/>
      <c r="I1200" s="35"/>
      <c r="J1200" s="35"/>
      <c r="K1200" s="35"/>
      <c r="L1200" s="35"/>
      <c r="M1200" s="35"/>
      <c r="N1200" s="35"/>
      <c r="O1200" s="35"/>
      <c r="P1200" s="35"/>
      <c r="Q1200" s="35"/>
      <c r="R1200" s="35"/>
    </row>
    <row r="1201" spans="6:18" ht="9.9499999999999993" customHeight="1">
      <c r="F1201" s="35"/>
      <c r="G1201" s="35"/>
      <c r="H1201" s="35"/>
      <c r="I1201" s="35"/>
      <c r="J1201" s="35"/>
      <c r="K1201" s="35"/>
      <c r="L1201" s="35"/>
      <c r="M1201" s="35"/>
      <c r="N1201" s="35"/>
      <c r="O1201" s="35"/>
      <c r="P1201" s="35"/>
      <c r="Q1201" s="35"/>
      <c r="R1201" s="35"/>
    </row>
    <row r="1202" spans="6:18" ht="9.9499999999999993" customHeight="1">
      <c r="F1202" s="35"/>
      <c r="G1202" s="35"/>
      <c r="H1202" s="35"/>
      <c r="I1202" s="35"/>
      <c r="J1202" s="35"/>
      <c r="K1202" s="35"/>
      <c r="L1202" s="35"/>
      <c r="M1202" s="35"/>
      <c r="N1202" s="35"/>
      <c r="O1202" s="35"/>
      <c r="P1202" s="35"/>
      <c r="Q1202" s="35"/>
      <c r="R1202" s="35"/>
    </row>
    <row r="1203" spans="6:18" ht="9.9499999999999993" customHeight="1">
      <c r="F1203" s="35"/>
      <c r="G1203" s="35"/>
      <c r="H1203" s="35"/>
      <c r="I1203" s="35"/>
      <c r="J1203" s="35"/>
      <c r="K1203" s="35"/>
      <c r="L1203" s="35"/>
      <c r="M1203" s="35"/>
      <c r="N1203" s="35"/>
      <c r="O1203" s="35"/>
      <c r="P1203" s="35"/>
      <c r="Q1203" s="35"/>
      <c r="R1203" s="35"/>
    </row>
    <row r="1204" spans="6:18" ht="9.9499999999999993" customHeight="1">
      <c r="F1204" s="35"/>
      <c r="G1204" s="35"/>
      <c r="H1204" s="35"/>
      <c r="I1204" s="35"/>
      <c r="J1204" s="35"/>
      <c r="K1204" s="35"/>
      <c r="L1204" s="35"/>
      <c r="M1204" s="35"/>
      <c r="N1204" s="35"/>
      <c r="O1204" s="35"/>
      <c r="P1204" s="35"/>
      <c r="Q1204" s="35"/>
      <c r="R1204" s="35"/>
    </row>
    <row r="1205" spans="6:18" ht="9.9499999999999993" customHeight="1">
      <c r="F1205" s="35"/>
      <c r="G1205" s="35"/>
      <c r="H1205" s="35"/>
      <c r="I1205" s="35"/>
      <c r="J1205" s="35"/>
      <c r="K1205" s="35"/>
      <c r="L1205" s="35"/>
      <c r="M1205" s="35"/>
      <c r="N1205" s="35"/>
      <c r="O1205" s="35"/>
      <c r="P1205" s="35"/>
      <c r="Q1205" s="35"/>
      <c r="R1205" s="35"/>
    </row>
    <row r="1206" spans="6:18" ht="9.9499999999999993" customHeight="1">
      <c r="F1206" s="35"/>
      <c r="G1206" s="35"/>
      <c r="H1206" s="35"/>
      <c r="I1206" s="35"/>
      <c r="J1206" s="35"/>
      <c r="K1206" s="35"/>
      <c r="L1206" s="35"/>
      <c r="M1206" s="35"/>
      <c r="N1206" s="35"/>
      <c r="O1206" s="35"/>
      <c r="P1206" s="35"/>
      <c r="Q1206" s="35"/>
      <c r="R1206" s="35"/>
    </row>
    <row r="1207" spans="6:18" ht="9.9499999999999993" customHeight="1">
      <c r="F1207" s="35"/>
      <c r="G1207" s="35"/>
      <c r="H1207" s="35"/>
      <c r="I1207" s="35"/>
      <c r="J1207" s="35"/>
      <c r="K1207" s="35"/>
      <c r="L1207" s="35"/>
      <c r="M1207" s="35"/>
      <c r="N1207" s="35"/>
      <c r="O1207" s="35"/>
      <c r="P1207" s="35"/>
      <c r="Q1207" s="35"/>
      <c r="R1207" s="35"/>
    </row>
    <row r="1208" spans="6:18" ht="9.9499999999999993" customHeight="1">
      <c r="F1208" s="35"/>
      <c r="G1208" s="35"/>
      <c r="H1208" s="35"/>
      <c r="I1208" s="35"/>
      <c r="J1208" s="35"/>
      <c r="K1208" s="35"/>
      <c r="L1208" s="35"/>
      <c r="M1208" s="35"/>
      <c r="N1208" s="35"/>
      <c r="O1208" s="35"/>
      <c r="P1208" s="35"/>
      <c r="Q1208" s="35"/>
      <c r="R1208" s="35"/>
    </row>
    <row r="1209" spans="6:18" ht="9.9499999999999993" customHeight="1">
      <c r="F1209" s="35"/>
      <c r="G1209" s="35"/>
      <c r="H1209" s="35"/>
      <c r="I1209" s="35"/>
      <c r="J1209" s="35"/>
      <c r="K1209" s="35"/>
      <c r="L1209" s="35"/>
      <c r="M1209" s="35"/>
      <c r="N1209" s="35"/>
      <c r="O1209" s="35"/>
      <c r="P1209" s="35"/>
      <c r="Q1209" s="35"/>
      <c r="R1209" s="35"/>
    </row>
    <row r="1210" spans="6:18" ht="9.9499999999999993" customHeight="1">
      <c r="F1210" s="35"/>
      <c r="G1210" s="35"/>
      <c r="H1210" s="35"/>
      <c r="I1210" s="35"/>
      <c r="J1210" s="35"/>
      <c r="K1210" s="35"/>
      <c r="L1210" s="35"/>
      <c r="M1210" s="35"/>
      <c r="N1210" s="35"/>
      <c r="O1210" s="35"/>
      <c r="P1210" s="35"/>
      <c r="Q1210" s="35"/>
      <c r="R1210" s="35"/>
    </row>
    <row r="1211" spans="6:18" ht="9.9499999999999993" customHeight="1">
      <c r="F1211" s="35"/>
      <c r="G1211" s="35"/>
      <c r="H1211" s="35"/>
      <c r="I1211" s="35"/>
      <c r="J1211" s="35"/>
      <c r="K1211" s="35"/>
      <c r="L1211" s="35"/>
      <c r="M1211" s="35"/>
      <c r="N1211" s="35"/>
      <c r="O1211" s="35"/>
      <c r="P1211" s="35"/>
      <c r="Q1211" s="35"/>
      <c r="R1211" s="35"/>
    </row>
    <row r="1212" spans="6:18" ht="9.9499999999999993" customHeight="1">
      <c r="F1212" s="35"/>
      <c r="G1212" s="35"/>
      <c r="H1212" s="35"/>
      <c r="I1212" s="35"/>
      <c r="J1212" s="35"/>
      <c r="K1212" s="35"/>
      <c r="L1212" s="35"/>
      <c r="M1212" s="35"/>
      <c r="N1212" s="35"/>
      <c r="O1212" s="35"/>
      <c r="P1212" s="35"/>
      <c r="Q1212" s="35"/>
      <c r="R1212" s="35"/>
    </row>
    <row r="1213" spans="6:18" ht="9.9499999999999993" customHeight="1">
      <c r="F1213" s="35"/>
      <c r="G1213" s="35"/>
      <c r="H1213" s="35"/>
      <c r="I1213" s="35"/>
      <c r="J1213" s="35"/>
      <c r="K1213" s="35"/>
      <c r="L1213" s="35"/>
      <c r="M1213" s="35"/>
      <c r="N1213" s="35"/>
      <c r="O1213" s="35"/>
      <c r="P1213" s="35"/>
      <c r="Q1213" s="35"/>
      <c r="R1213" s="35"/>
    </row>
    <row r="1214" spans="6:18" ht="9.9499999999999993" customHeight="1">
      <c r="F1214" s="35"/>
      <c r="G1214" s="35"/>
      <c r="H1214" s="35"/>
      <c r="I1214" s="35"/>
      <c r="J1214" s="35"/>
      <c r="K1214" s="35"/>
      <c r="L1214" s="35"/>
      <c r="M1214" s="35"/>
      <c r="N1214" s="35"/>
      <c r="O1214" s="35"/>
      <c r="P1214" s="35"/>
      <c r="Q1214" s="35"/>
      <c r="R1214" s="35"/>
    </row>
    <row r="1215" spans="6:18" ht="9.9499999999999993" customHeight="1">
      <c r="F1215" s="35"/>
      <c r="G1215" s="35"/>
      <c r="H1215" s="35"/>
      <c r="I1215" s="35"/>
      <c r="J1215" s="35"/>
      <c r="K1215" s="35"/>
      <c r="L1215" s="35"/>
      <c r="M1215" s="35"/>
      <c r="N1215" s="35"/>
      <c r="O1215" s="35"/>
      <c r="P1215" s="35"/>
      <c r="Q1215" s="35"/>
      <c r="R1215" s="35"/>
    </row>
    <row r="1216" spans="6:18" ht="9.9499999999999993" customHeight="1">
      <c r="F1216" s="35"/>
      <c r="G1216" s="35"/>
      <c r="H1216" s="35"/>
      <c r="I1216" s="35"/>
      <c r="J1216" s="35"/>
      <c r="K1216" s="35"/>
      <c r="L1216" s="35"/>
      <c r="M1216" s="35"/>
      <c r="N1216" s="35"/>
      <c r="O1216" s="35"/>
      <c r="P1216" s="35"/>
      <c r="Q1216" s="35"/>
      <c r="R1216" s="35"/>
    </row>
    <row r="1217" spans="6:18" ht="9.9499999999999993" customHeight="1">
      <c r="F1217" s="35"/>
      <c r="G1217" s="35"/>
      <c r="H1217" s="35"/>
      <c r="I1217" s="35"/>
      <c r="J1217" s="35"/>
      <c r="K1217" s="35"/>
      <c r="L1217" s="35"/>
      <c r="M1217" s="35"/>
      <c r="N1217" s="35"/>
      <c r="O1217" s="35"/>
      <c r="P1217" s="35"/>
      <c r="Q1217" s="35"/>
      <c r="R1217" s="35"/>
    </row>
    <row r="1218" spans="6:18" ht="9.9499999999999993" customHeight="1">
      <c r="F1218" s="35"/>
      <c r="G1218" s="35"/>
      <c r="H1218" s="35"/>
      <c r="I1218" s="35"/>
      <c r="J1218" s="35"/>
      <c r="K1218" s="35"/>
      <c r="L1218" s="35"/>
      <c r="M1218" s="35"/>
      <c r="N1218" s="35"/>
      <c r="O1218" s="35"/>
      <c r="P1218" s="35"/>
      <c r="Q1218" s="35"/>
      <c r="R1218" s="35"/>
    </row>
    <row r="1219" spans="6:18" ht="9.9499999999999993" customHeight="1">
      <c r="F1219" s="35"/>
      <c r="G1219" s="35"/>
      <c r="H1219" s="35"/>
      <c r="I1219" s="35"/>
      <c r="J1219" s="35"/>
      <c r="K1219" s="35"/>
      <c r="L1219" s="35"/>
      <c r="M1219" s="35"/>
      <c r="N1219" s="35"/>
      <c r="O1219" s="35"/>
      <c r="P1219" s="35"/>
      <c r="Q1219" s="35"/>
      <c r="R1219" s="35"/>
    </row>
    <row r="1220" spans="6:18" ht="9.9499999999999993" customHeight="1">
      <c r="F1220" s="35"/>
      <c r="G1220" s="35"/>
      <c r="H1220" s="35"/>
      <c r="I1220" s="35"/>
      <c r="J1220" s="35"/>
      <c r="K1220" s="35"/>
      <c r="L1220" s="35"/>
      <c r="M1220" s="35"/>
      <c r="N1220" s="35"/>
      <c r="O1220" s="35"/>
      <c r="P1220" s="35"/>
      <c r="Q1220" s="35"/>
      <c r="R1220" s="35"/>
    </row>
    <row r="1221" spans="6:18" ht="9.9499999999999993" customHeight="1">
      <c r="F1221" s="35"/>
      <c r="G1221" s="35"/>
      <c r="H1221" s="35"/>
      <c r="I1221" s="35"/>
      <c r="J1221" s="35"/>
      <c r="K1221" s="35"/>
      <c r="L1221" s="35"/>
      <c r="M1221" s="35"/>
      <c r="N1221" s="35"/>
      <c r="O1221" s="35"/>
      <c r="P1221" s="35"/>
      <c r="Q1221" s="35"/>
      <c r="R1221" s="35"/>
    </row>
    <row r="1222" spans="6:18" ht="9.9499999999999993" customHeight="1">
      <c r="F1222" s="35"/>
      <c r="G1222" s="35"/>
      <c r="H1222" s="35"/>
      <c r="I1222" s="35"/>
      <c r="J1222" s="35"/>
      <c r="K1222" s="35"/>
      <c r="L1222" s="35"/>
      <c r="M1222" s="35"/>
      <c r="N1222" s="35"/>
      <c r="O1222" s="35"/>
      <c r="P1222" s="35"/>
      <c r="Q1222" s="35"/>
      <c r="R1222" s="35"/>
    </row>
    <row r="1223" spans="6:18" ht="9.9499999999999993" customHeight="1">
      <c r="F1223" s="35"/>
      <c r="G1223" s="35"/>
      <c r="H1223" s="35"/>
      <c r="I1223" s="35"/>
      <c r="J1223" s="35"/>
      <c r="K1223" s="35"/>
      <c r="L1223" s="35"/>
      <c r="M1223" s="35"/>
      <c r="N1223" s="35"/>
      <c r="O1223" s="35"/>
      <c r="P1223" s="35"/>
      <c r="Q1223" s="35"/>
      <c r="R1223" s="35"/>
    </row>
    <row r="1224" spans="6:18" ht="9.9499999999999993" customHeight="1">
      <c r="F1224" s="35"/>
      <c r="G1224" s="35"/>
      <c r="H1224" s="35"/>
      <c r="I1224" s="35"/>
      <c r="J1224" s="35"/>
      <c r="K1224" s="35"/>
      <c r="L1224" s="35"/>
      <c r="M1224" s="35"/>
      <c r="N1224" s="35"/>
      <c r="O1224" s="35"/>
      <c r="P1224" s="35"/>
      <c r="Q1224" s="35"/>
      <c r="R1224" s="35"/>
    </row>
    <row r="1225" spans="6:18" ht="9.9499999999999993" customHeight="1">
      <c r="F1225" s="35"/>
      <c r="G1225" s="35"/>
      <c r="H1225" s="35"/>
      <c r="I1225" s="35"/>
      <c r="J1225" s="35"/>
      <c r="K1225" s="35"/>
      <c r="L1225" s="35"/>
      <c r="M1225" s="35"/>
      <c r="N1225" s="35"/>
      <c r="O1225" s="35"/>
      <c r="P1225" s="35"/>
      <c r="Q1225" s="35"/>
      <c r="R1225" s="35"/>
    </row>
    <row r="1226" spans="6:18" ht="9.9499999999999993" customHeight="1">
      <c r="F1226" s="35"/>
      <c r="G1226" s="35"/>
      <c r="H1226" s="35"/>
      <c r="I1226" s="35"/>
      <c r="J1226" s="35"/>
      <c r="K1226" s="35"/>
      <c r="L1226" s="35"/>
      <c r="M1226" s="35"/>
      <c r="N1226" s="35"/>
      <c r="O1226" s="35"/>
      <c r="P1226" s="35"/>
      <c r="Q1226" s="35"/>
      <c r="R1226" s="35"/>
    </row>
    <row r="1227" spans="6:18" ht="9.9499999999999993" customHeight="1">
      <c r="F1227" s="35"/>
      <c r="G1227" s="35"/>
      <c r="H1227" s="35"/>
      <c r="I1227" s="35"/>
      <c r="J1227" s="35"/>
      <c r="K1227" s="35"/>
      <c r="L1227" s="35"/>
      <c r="M1227" s="35"/>
      <c r="N1227" s="35"/>
      <c r="O1227" s="35"/>
      <c r="P1227" s="35"/>
      <c r="Q1227" s="35"/>
      <c r="R1227" s="35"/>
    </row>
    <row r="1228" spans="6:18" ht="9.9499999999999993" customHeight="1">
      <c r="F1228" s="35"/>
      <c r="G1228" s="35"/>
      <c r="H1228" s="35"/>
      <c r="I1228" s="35"/>
      <c r="J1228" s="35"/>
      <c r="K1228" s="35"/>
      <c r="L1228" s="35"/>
      <c r="M1228" s="35"/>
      <c r="N1228" s="35"/>
      <c r="O1228" s="35"/>
      <c r="P1228" s="35"/>
      <c r="Q1228" s="35"/>
      <c r="R1228" s="35"/>
    </row>
    <row r="1229" spans="6:18" ht="9.9499999999999993" customHeight="1">
      <c r="F1229" s="35"/>
      <c r="G1229" s="35"/>
      <c r="H1229" s="35"/>
      <c r="I1229" s="35"/>
      <c r="J1229" s="35"/>
      <c r="K1229" s="35"/>
      <c r="L1229" s="35"/>
      <c r="M1229" s="35"/>
      <c r="N1229" s="35"/>
      <c r="O1229" s="35"/>
      <c r="P1229" s="35"/>
      <c r="Q1229" s="35"/>
      <c r="R1229" s="35"/>
    </row>
    <row r="1230" spans="6:18" ht="9.9499999999999993" customHeight="1">
      <c r="F1230" s="35"/>
      <c r="G1230" s="35"/>
      <c r="H1230" s="35"/>
      <c r="I1230" s="35"/>
      <c r="J1230" s="35"/>
      <c r="K1230" s="35"/>
      <c r="L1230" s="35"/>
      <c r="M1230" s="35"/>
      <c r="N1230" s="35"/>
      <c r="O1230" s="35"/>
      <c r="P1230" s="35"/>
      <c r="Q1230" s="35"/>
      <c r="R1230" s="35"/>
    </row>
    <row r="1231" spans="6:18" ht="9.9499999999999993" customHeight="1">
      <c r="F1231" s="35"/>
      <c r="G1231" s="35"/>
      <c r="H1231" s="35"/>
      <c r="I1231" s="35"/>
      <c r="J1231" s="35"/>
      <c r="K1231" s="35"/>
      <c r="L1231" s="35"/>
      <c r="M1231" s="35"/>
      <c r="N1231" s="35"/>
      <c r="O1231" s="35"/>
      <c r="P1231" s="35"/>
      <c r="Q1231" s="35"/>
      <c r="R1231" s="35"/>
    </row>
    <row r="1232" spans="6:18" ht="9.9499999999999993" customHeight="1">
      <c r="F1232" s="35"/>
      <c r="G1232" s="35"/>
      <c r="H1232" s="35"/>
      <c r="I1232" s="35"/>
      <c r="J1232" s="35"/>
      <c r="K1232" s="35"/>
      <c r="L1232" s="35"/>
      <c r="M1232" s="35"/>
      <c r="N1232" s="35"/>
      <c r="O1232" s="35"/>
      <c r="P1232" s="35"/>
      <c r="Q1232" s="35"/>
      <c r="R1232" s="35"/>
    </row>
    <row r="1233" spans="6:18" ht="9.9499999999999993" customHeight="1">
      <c r="F1233" s="35"/>
      <c r="G1233" s="35"/>
      <c r="H1233" s="35"/>
      <c r="I1233" s="35"/>
      <c r="J1233" s="35"/>
      <c r="K1233" s="35"/>
      <c r="L1233" s="35"/>
      <c r="M1233" s="35"/>
      <c r="N1233" s="35"/>
      <c r="O1233" s="35"/>
      <c r="P1233" s="35"/>
      <c r="Q1233" s="35"/>
      <c r="R1233" s="35"/>
    </row>
    <row r="1234" spans="6:18" ht="9.9499999999999993" customHeight="1">
      <c r="F1234" s="35"/>
      <c r="G1234" s="35"/>
      <c r="H1234" s="35"/>
      <c r="I1234" s="35"/>
      <c r="J1234" s="35"/>
      <c r="K1234" s="35"/>
      <c r="L1234" s="35"/>
      <c r="M1234" s="35"/>
      <c r="N1234" s="35"/>
      <c r="O1234" s="35"/>
      <c r="P1234" s="35"/>
      <c r="Q1234" s="35"/>
      <c r="R1234" s="35"/>
    </row>
    <row r="1235" spans="6:18" ht="9.9499999999999993" customHeight="1">
      <c r="F1235" s="35"/>
      <c r="G1235" s="35"/>
      <c r="H1235" s="35"/>
      <c r="I1235" s="35"/>
      <c r="J1235" s="35"/>
      <c r="K1235" s="35"/>
      <c r="L1235" s="35"/>
      <c r="M1235" s="35"/>
      <c r="N1235" s="35"/>
      <c r="O1235" s="35"/>
      <c r="P1235" s="35"/>
      <c r="Q1235" s="35"/>
      <c r="R1235" s="35"/>
    </row>
    <row r="1236" spans="6:18" ht="9.9499999999999993" customHeight="1">
      <c r="F1236" s="35"/>
      <c r="G1236" s="35"/>
      <c r="H1236" s="35"/>
      <c r="I1236" s="35"/>
      <c r="J1236" s="35"/>
      <c r="K1236" s="35"/>
      <c r="L1236" s="35"/>
      <c r="M1236" s="35"/>
      <c r="N1236" s="35"/>
      <c r="O1236" s="35"/>
      <c r="P1236" s="35"/>
      <c r="Q1236" s="35"/>
      <c r="R1236" s="35"/>
    </row>
    <row r="1237" spans="6:18" ht="9.9499999999999993" customHeight="1">
      <c r="F1237" s="35"/>
      <c r="G1237" s="35"/>
      <c r="H1237" s="35"/>
      <c r="I1237" s="35"/>
      <c r="J1237" s="35"/>
      <c r="K1237" s="35"/>
      <c r="L1237" s="35"/>
      <c r="M1237" s="35"/>
      <c r="N1237" s="35"/>
      <c r="O1237" s="35"/>
      <c r="P1237" s="35"/>
      <c r="Q1237" s="35"/>
      <c r="R1237" s="35"/>
    </row>
    <row r="1238" spans="6:18" ht="9.9499999999999993" customHeight="1">
      <c r="F1238" s="35"/>
      <c r="G1238" s="35"/>
      <c r="H1238" s="35"/>
      <c r="I1238" s="35"/>
      <c r="J1238" s="35"/>
      <c r="K1238" s="35"/>
      <c r="L1238" s="35"/>
      <c r="M1238" s="35"/>
      <c r="N1238" s="35"/>
      <c r="O1238" s="35"/>
      <c r="P1238" s="35"/>
      <c r="Q1238" s="35"/>
      <c r="R1238" s="35"/>
    </row>
    <row r="1239" spans="6:18" ht="9.9499999999999993" customHeight="1">
      <c r="F1239" s="35"/>
      <c r="G1239" s="35"/>
      <c r="H1239" s="35"/>
      <c r="I1239" s="35"/>
      <c r="J1239" s="35"/>
      <c r="K1239" s="35"/>
      <c r="L1239" s="35"/>
      <c r="M1239" s="35"/>
      <c r="N1239" s="35"/>
      <c r="O1239" s="35"/>
      <c r="P1239" s="35"/>
      <c r="Q1239" s="35"/>
      <c r="R1239" s="35"/>
    </row>
    <row r="1240" spans="6:18" ht="9.9499999999999993" customHeight="1">
      <c r="F1240" s="35"/>
      <c r="G1240" s="35"/>
      <c r="H1240" s="35"/>
      <c r="I1240" s="35"/>
      <c r="J1240" s="35"/>
      <c r="K1240" s="35"/>
      <c r="L1240" s="35"/>
      <c r="M1240" s="35"/>
      <c r="N1240" s="35"/>
      <c r="O1240" s="35"/>
      <c r="P1240" s="35"/>
      <c r="Q1240" s="35"/>
      <c r="R1240" s="35"/>
    </row>
    <row r="1241" spans="6:18" ht="9.9499999999999993" customHeight="1">
      <c r="F1241" s="35"/>
      <c r="G1241" s="35"/>
      <c r="H1241" s="35"/>
      <c r="I1241" s="35"/>
      <c r="J1241" s="35"/>
      <c r="K1241" s="35"/>
      <c r="L1241" s="35"/>
      <c r="M1241" s="35"/>
      <c r="N1241" s="35"/>
      <c r="O1241" s="35"/>
      <c r="P1241" s="35"/>
      <c r="Q1241" s="35"/>
      <c r="R1241" s="35"/>
    </row>
    <row r="1242" spans="6:18" ht="9.9499999999999993" customHeight="1">
      <c r="F1242" s="35"/>
      <c r="G1242" s="35"/>
      <c r="H1242" s="35"/>
      <c r="I1242" s="35"/>
      <c r="J1242" s="35"/>
      <c r="K1242" s="35"/>
      <c r="L1242" s="35"/>
      <c r="M1242" s="35"/>
      <c r="N1242" s="35"/>
      <c r="O1242" s="35"/>
      <c r="P1242" s="35"/>
      <c r="Q1242" s="35"/>
      <c r="R1242" s="35"/>
    </row>
    <row r="1243" spans="6:18" ht="9.9499999999999993" customHeight="1">
      <c r="F1243" s="35"/>
      <c r="G1243" s="35"/>
      <c r="H1243" s="35"/>
      <c r="I1243" s="35"/>
      <c r="J1243" s="35"/>
      <c r="K1243" s="35"/>
      <c r="L1243" s="35"/>
      <c r="M1243" s="35"/>
      <c r="N1243" s="35"/>
      <c r="O1243" s="35"/>
      <c r="P1243" s="35"/>
      <c r="Q1243" s="35"/>
      <c r="R1243" s="35"/>
    </row>
    <row r="1244" spans="6:18" ht="9.9499999999999993" customHeight="1">
      <c r="F1244" s="35"/>
      <c r="G1244" s="35"/>
      <c r="H1244" s="35"/>
      <c r="I1244" s="35"/>
      <c r="J1244" s="35"/>
      <c r="K1244" s="35"/>
      <c r="L1244" s="35"/>
      <c r="M1244" s="35"/>
      <c r="N1244" s="35"/>
      <c r="O1244" s="35"/>
      <c r="P1244" s="35"/>
      <c r="Q1244" s="35"/>
      <c r="R1244" s="35"/>
    </row>
    <row r="1245" spans="6:18" ht="9.9499999999999993" customHeight="1">
      <c r="F1245" s="35"/>
      <c r="G1245" s="35"/>
      <c r="H1245" s="35"/>
      <c r="I1245" s="35"/>
      <c r="J1245" s="35"/>
      <c r="K1245" s="35"/>
      <c r="L1245" s="35"/>
      <c r="M1245" s="35"/>
      <c r="N1245" s="35"/>
      <c r="O1245" s="35"/>
      <c r="P1245" s="35"/>
      <c r="Q1245" s="35"/>
      <c r="R1245" s="35"/>
    </row>
    <row r="1246" spans="6:18" ht="9.9499999999999993" customHeight="1">
      <c r="F1246" s="35"/>
      <c r="G1246" s="35"/>
      <c r="H1246" s="35"/>
      <c r="I1246" s="35"/>
      <c r="J1246" s="35"/>
      <c r="K1246" s="35"/>
      <c r="L1246" s="35"/>
      <c r="M1246" s="35"/>
      <c r="N1246" s="35"/>
      <c r="O1246" s="35"/>
      <c r="P1246" s="35"/>
      <c r="Q1246" s="35"/>
      <c r="R1246" s="35"/>
    </row>
    <row r="1247" spans="6:18" ht="9.9499999999999993" customHeight="1">
      <c r="F1247" s="35"/>
      <c r="G1247" s="35"/>
      <c r="H1247" s="35"/>
      <c r="I1247" s="35"/>
      <c r="J1247" s="35"/>
      <c r="K1247" s="35"/>
      <c r="L1247" s="35"/>
      <c r="M1247" s="35"/>
      <c r="N1247" s="35"/>
      <c r="O1247" s="35"/>
      <c r="P1247" s="35"/>
      <c r="Q1247" s="35"/>
      <c r="R1247" s="35"/>
    </row>
    <row r="1248" spans="6:18" ht="9.9499999999999993" customHeight="1">
      <c r="F1248" s="35"/>
      <c r="G1248" s="35"/>
      <c r="H1248" s="35"/>
      <c r="I1248" s="35"/>
      <c r="J1248" s="35"/>
      <c r="K1248" s="35"/>
      <c r="L1248" s="35"/>
      <c r="M1248" s="35"/>
      <c r="N1248" s="35"/>
      <c r="O1248" s="35"/>
      <c r="P1248" s="35"/>
      <c r="Q1248" s="35"/>
      <c r="R1248" s="35"/>
    </row>
    <row r="1249" spans="6:18" ht="9.9499999999999993" customHeight="1">
      <c r="F1249" s="35"/>
      <c r="G1249" s="35"/>
      <c r="H1249" s="35"/>
      <c r="I1249" s="35"/>
      <c r="J1249" s="35"/>
      <c r="K1249" s="35"/>
      <c r="L1249" s="35"/>
      <c r="M1249" s="35"/>
      <c r="N1249" s="35"/>
      <c r="O1249" s="35"/>
      <c r="P1249" s="35"/>
      <c r="Q1249" s="35"/>
      <c r="R1249" s="35"/>
    </row>
    <row r="1250" spans="6:18" ht="9.9499999999999993" customHeight="1">
      <c r="F1250" s="35"/>
      <c r="G1250" s="35"/>
      <c r="H1250" s="35"/>
      <c r="I1250" s="35"/>
      <c r="J1250" s="35"/>
      <c r="K1250" s="35"/>
      <c r="L1250" s="35"/>
      <c r="M1250" s="35"/>
      <c r="N1250" s="35"/>
      <c r="O1250" s="35"/>
      <c r="P1250" s="35"/>
      <c r="Q1250" s="35"/>
      <c r="R1250" s="35"/>
    </row>
    <row r="1251" spans="6:18" ht="9.9499999999999993" customHeight="1">
      <c r="F1251" s="35"/>
      <c r="G1251" s="35"/>
      <c r="H1251" s="35"/>
      <c r="I1251" s="35"/>
      <c r="J1251" s="35"/>
      <c r="K1251" s="35"/>
      <c r="L1251" s="35"/>
      <c r="M1251" s="35"/>
      <c r="N1251" s="35"/>
      <c r="O1251" s="35"/>
      <c r="P1251" s="35"/>
      <c r="Q1251" s="35"/>
      <c r="R1251" s="35"/>
    </row>
    <row r="1252" spans="6:18" ht="9.9499999999999993" customHeight="1">
      <c r="F1252" s="35"/>
      <c r="G1252" s="35"/>
      <c r="H1252" s="35"/>
      <c r="I1252" s="35"/>
      <c r="J1252" s="35"/>
      <c r="K1252" s="35"/>
      <c r="L1252" s="35"/>
      <c r="M1252" s="35"/>
      <c r="N1252" s="35"/>
      <c r="O1252" s="35"/>
      <c r="P1252" s="35"/>
      <c r="Q1252" s="35"/>
      <c r="R1252" s="35"/>
    </row>
    <row r="1253" spans="6:18" ht="9.9499999999999993" customHeight="1">
      <c r="F1253" s="35"/>
      <c r="G1253" s="35"/>
      <c r="H1253" s="35"/>
      <c r="I1253" s="35"/>
      <c r="J1253" s="35"/>
      <c r="K1253" s="35"/>
      <c r="L1253" s="35"/>
      <c r="M1253" s="35"/>
      <c r="N1253" s="35"/>
      <c r="O1253" s="35"/>
      <c r="P1253" s="35"/>
      <c r="Q1253" s="35"/>
      <c r="R1253" s="35"/>
    </row>
    <row r="1254" spans="6:18" ht="9.9499999999999993" customHeight="1">
      <c r="F1254" s="35"/>
      <c r="G1254" s="35"/>
      <c r="H1254" s="35"/>
      <c r="I1254" s="35"/>
      <c r="J1254" s="35"/>
      <c r="K1254" s="35"/>
      <c r="L1254" s="35"/>
      <c r="M1254" s="35"/>
      <c r="N1254" s="35"/>
      <c r="O1254" s="35"/>
      <c r="P1254" s="35"/>
      <c r="Q1254" s="35"/>
      <c r="R1254" s="35"/>
    </row>
    <row r="1255" spans="6:18" ht="9.9499999999999993" customHeight="1">
      <c r="F1255" s="35"/>
      <c r="G1255" s="35"/>
      <c r="H1255" s="35"/>
      <c r="I1255" s="35"/>
      <c r="J1255" s="35"/>
      <c r="K1255" s="35"/>
      <c r="L1255" s="35"/>
      <c r="M1255" s="35"/>
      <c r="N1255" s="35"/>
      <c r="O1255" s="35"/>
      <c r="P1255" s="35"/>
      <c r="Q1255" s="35"/>
      <c r="R1255" s="35"/>
    </row>
    <row r="1256" spans="6:18" ht="9.9499999999999993" customHeight="1">
      <c r="F1256" s="35"/>
      <c r="G1256" s="35"/>
      <c r="H1256" s="35"/>
      <c r="I1256" s="35"/>
      <c r="J1256" s="35"/>
      <c r="K1256" s="35"/>
      <c r="L1256" s="35"/>
      <c r="M1256" s="35"/>
      <c r="N1256" s="35"/>
      <c r="O1256" s="35"/>
      <c r="P1256" s="35"/>
      <c r="Q1256" s="35"/>
      <c r="R1256" s="35"/>
    </row>
    <row r="1257" spans="6:18" ht="9.9499999999999993" customHeight="1">
      <c r="F1257" s="35"/>
      <c r="G1257" s="35"/>
      <c r="H1257" s="35"/>
      <c r="I1257" s="35"/>
      <c r="J1257" s="35"/>
      <c r="K1257" s="35"/>
      <c r="L1257" s="35"/>
      <c r="M1257" s="35"/>
      <c r="N1257" s="35"/>
      <c r="O1257" s="35"/>
      <c r="P1257" s="35"/>
      <c r="Q1257" s="35"/>
      <c r="R1257" s="35"/>
    </row>
    <row r="1258" spans="6:18" ht="9.9499999999999993" customHeight="1">
      <c r="F1258" s="35"/>
      <c r="G1258" s="35"/>
      <c r="H1258" s="35"/>
      <c r="I1258" s="35"/>
      <c r="J1258" s="35"/>
      <c r="K1258" s="35"/>
      <c r="L1258" s="35"/>
      <c r="M1258" s="35"/>
      <c r="N1258" s="35"/>
      <c r="O1258" s="35"/>
      <c r="P1258" s="35"/>
      <c r="Q1258" s="35"/>
      <c r="R1258" s="35"/>
    </row>
    <row r="1259" spans="6:18" ht="9.9499999999999993" customHeight="1">
      <c r="F1259" s="35"/>
      <c r="G1259" s="35"/>
      <c r="H1259" s="35"/>
      <c r="I1259" s="35"/>
      <c r="J1259" s="35"/>
      <c r="K1259" s="35"/>
      <c r="L1259" s="35"/>
      <c r="M1259" s="35"/>
      <c r="N1259" s="35"/>
      <c r="O1259" s="35"/>
      <c r="P1259" s="35"/>
      <c r="Q1259" s="35"/>
      <c r="R1259" s="35"/>
    </row>
    <row r="1260" spans="6:18" ht="9.9499999999999993" customHeight="1">
      <c r="F1260" s="35"/>
      <c r="G1260" s="35"/>
      <c r="H1260" s="35"/>
      <c r="I1260" s="35"/>
      <c r="J1260" s="35"/>
      <c r="K1260" s="35"/>
      <c r="L1260" s="35"/>
      <c r="M1260" s="35"/>
      <c r="N1260" s="35"/>
      <c r="O1260" s="35"/>
      <c r="P1260" s="35"/>
      <c r="Q1260" s="35"/>
      <c r="R1260" s="35"/>
    </row>
    <row r="1261" spans="6:18" ht="9.9499999999999993" customHeight="1">
      <c r="F1261" s="35"/>
      <c r="G1261" s="35"/>
      <c r="H1261" s="35"/>
      <c r="I1261" s="35"/>
      <c r="J1261" s="35"/>
      <c r="K1261" s="35"/>
      <c r="L1261" s="35"/>
      <c r="M1261" s="35"/>
      <c r="N1261" s="35"/>
      <c r="O1261" s="35"/>
      <c r="P1261" s="35"/>
      <c r="Q1261" s="35"/>
      <c r="R1261" s="35"/>
    </row>
    <row r="1262" spans="6:18" ht="9.9499999999999993" customHeight="1">
      <c r="F1262" s="35"/>
      <c r="G1262" s="35"/>
      <c r="H1262" s="35"/>
      <c r="I1262" s="35"/>
      <c r="J1262" s="35"/>
      <c r="K1262" s="35"/>
      <c r="L1262" s="35"/>
      <c r="M1262" s="35"/>
      <c r="N1262" s="35"/>
      <c r="O1262" s="35"/>
      <c r="P1262" s="35"/>
      <c r="Q1262" s="35"/>
      <c r="R1262" s="35"/>
    </row>
    <row r="1263" spans="6:18" ht="9.9499999999999993" customHeight="1">
      <c r="F1263" s="35"/>
      <c r="G1263" s="35"/>
      <c r="H1263" s="35"/>
      <c r="I1263" s="35"/>
      <c r="J1263" s="35"/>
      <c r="K1263" s="35"/>
      <c r="L1263" s="35"/>
      <c r="M1263" s="35"/>
      <c r="N1263" s="35"/>
      <c r="O1263" s="35"/>
      <c r="P1263" s="35"/>
      <c r="Q1263" s="35"/>
      <c r="R1263" s="35"/>
    </row>
    <row r="1264" spans="6:18" ht="9.9499999999999993" customHeight="1">
      <c r="F1264" s="35"/>
      <c r="G1264" s="35"/>
      <c r="H1264" s="35"/>
      <c r="I1264" s="35"/>
      <c r="J1264" s="35"/>
      <c r="K1264" s="35"/>
      <c r="L1264" s="35"/>
      <c r="M1264" s="35"/>
      <c r="N1264" s="35"/>
      <c r="O1264" s="35"/>
      <c r="P1264" s="35"/>
      <c r="Q1264" s="35"/>
      <c r="R1264" s="35"/>
    </row>
    <row r="1265" spans="6:18" ht="9.9499999999999993" customHeight="1">
      <c r="F1265" s="35"/>
      <c r="G1265" s="35"/>
      <c r="H1265" s="35"/>
      <c r="I1265" s="35"/>
      <c r="J1265" s="35"/>
      <c r="K1265" s="35"/>
      <c r="L1265" s="35"/>
      <c r="M1265" s="35"/>
      <c r="N1265" s="35"/>
      <c r="O1265" s="35"/>
      <c r="P1265" s="35"/>
      <c r="Q1265" s="35"/>
      <c r="R1265" s="35"/>
    </row>
    <row r="1266" spans="6:18" ht="9.9499999999999993" customHeight="1">
      <c r="F1266" s="35"/>
      <c r="G1266" s="35"/>
      <c r="H1266" s="35"/>
      <c r="I1266" s="35"/>
      <c r="J1266" s="35"/>
      <c r="K1266" s="35"/>
      <c r="L1266" s="35"/>
      <c r="M1266" s="35"/>
      <c r="N1266" s="35"/>
      <c r="O1266" s="35"/>
      <c r="P1266" s="35"/>
      <c r="Q1266" s="35"/>
      <c r="R1266" s="35"/>
    </row>
    <row r="1267" spans="6:18" ht="9.9499999999999993" customHeight="1">
      <c r="F1267" s="35"/>
      <c r="G1267" s="35"/>
      <c r="H1267" s="35"/>
      <c r="I1267" s="35"/>
      <c r="J1267" s="35"/>
      <c r="K1267" s="35"/>
      <c r="L1267" s="35"/>
      <c r="M1267" s="35"/>
      <c r="N1267" s="35"/>
      <c r="O1267" s="35"/>
      <c r="P1267" s="35"/>
      <c r="Q1267" s="35"/>
      <c r="R1267" s="35"/>
    </row>
    <row r="1268" spans="6:18" ht="9.9499999999999993" customHeight="1">
      <c r="F1268" s="35"/>
      <c r="G1268" s="35"/>
      <c r="H1268" s="35"/>
      <c r="I1268" s="35"/>
      <c r="J1268" s="35"/>
      <c r="K1268" s="35"/>
      <c r="L1268" s="35"/>
      <c r="M1268" s="35"/>
      <c r="N1268" s="35"/>
      <c r="O1268" s="35"/>
      <c r="P1268" s="35"/>
      <c r="Q1268" s="35"/>
      <c r="R1268" s="35"/>
    </row>
    <row r="1269" spans="6:18" ht="9.9499999999999993" customHeight="1">
      <c r="F1269" s="35"/>
      <c r="G1269" s="35"/>
      <c r="H1269" s="35"/>
      <c r="I1269" s="35"/>
      <c r="J1269" s="35"/>
      <c r="K1269" s="35"/>
      <c r="L1269" s="35"/>
      <c r="M1269" s="35"/>
      <c r="N1269" s="35"/>
      <c r="O1269" s="35"/>
      <c r="P1269" s="35"/>
      <c r="Q1269" s="35"/>
      <c r="R1269" s="35"/>
    </row>
    <row r="1270" spans="6:18" ht="9.9499999999999993" customHeight="1">
      <c r="F1270" s="35"/>
      <c r="G1270" s="35"/>
      <c r="H1270" s="35"/>
      <c r="I1270" s="35"/>
      <c r="J1270" s="35"/>
      <c r="K1270" s="35"/>
      <c r="L1270" s="35"/>
      <c r="M1270" s="35"/>
      <c r="N1270" s="35"/>
      <c r="O1270" s="35"/>
      <c r="P1270" s="35"/>
      <c r="Q1270" s="35"/>
      <c r="R1270" s="35"/>
    </row>
    <row r="1271" spans="6:18" ht="9.9499999999999993" customHeight="1">
      <c r="F1271" s="35"/>
      <c r="G1271" s="35"/>
      <c r="H1271" s="35"/>
      <c r="I1271" s="35"/>
      <c r="J1271" s="35"/>
      <c r="K1271" s="35"/>
      <c r="L1271" s="35"/>
      <c r="M1271" s="35"/>
      <c r="N1271" s="35"/>
      <c r="O1271" s="35"/>
      <c r="P1271" s="35"/>
      <c r="Q1271" s="35"/>
      <c r="R1271" s="35"/>
    </row>
    <row r="1272" spans="6:18" ht="9.9499999999999993" customHeight="1">
      <c r="F1272" s="35"/>
      <c r="G1272" s="35"/>
      <c r="H1272" s="35"/>
      <c r="I1272" s="35"/>
      <c r="J1272" s="35"/>
      <c r="K1272" s="35"/>
      <c r="L1272" s="35"/>
      <c r="M1272" s="35"/>
      <c r="N1272" s="35"/>
      <c r="O1272" s="35"/>
      <c r="P1272" s="35"/>
      <c r="Q1272" s="35"/>
      <c r="R1272" s="35"/>
    </row>
    <row r="1273" spans="6:18" ht="9.9499999999999993" customHeight="1">
      <c r="F1273" s="35"/>
      <c r="G1273" s="35"/>
      <c r="H1273" s="35"/>
      <c r="I1273" s="35"/>
      <c r="J1273" s="35"/>
      <c r="K1273" s="35"/>
      <c r="L1273" s="35"/>
      <c r="M1273" s="35"/>
      <c r="N1273" s="35"/>
      <c r="O1273" s="35"/>
      <c r="P1273" s="35"/>
      <c r="Q1273" s="35"/>
      <c r="R1273" s="35"/>
    </row>
    <row r="1274" spans="6:18" ht="9.9499999999999993" customHeight="1">
      <c r="F1274" s="35"/>
      <c r="G1274" s="35"/>
      <c r="H1274" s="35"/>
      <c r="I1274" s="35"/>
      <c r="J1274" s="35"/>
      <c r="K1274" s="35"/>
      <c r="L1274" s="35"/>
      <c r="M1274" s="35"/>
      <c r="N1274" s="35"/>
      <c r="O1274" s="35"/>
      <c r="P1274" s="35"/>
      <c r="Q1274" s="35"/>
      <c r="R1274" s="35"/>
    </row>
    <row r="1275" spans="6:18" ht="9.9499999999999993" customHeight="1">
      <c r="F1275" s="35"/>
      <c r="G1275" s="35"/>
      <c r="H1275" s="35"/>
      <c r="I1275" s="35"/>
      <c r="J1275" s="35"/>
      <c r="K1275" s="35"/>
      <c r="L1275" s="35"/>
      <c r="M1275" s="35"/>
      <c r="N1275" s="35"/>
      <c r="O1275" s="35"/>
      <c r="P1275" s="35"/>
      <c r="Q1275" s="35"/>
      <c r="R1275" s="35"/>
    </row>
    <row r="1276" spans="6:18" ht="9.9499999999999993" customHeight="1">
      <c r="F1276" s="35"/>
      <c r="G1276" s="35"/>
      <c r="H1276" s="35"/>
      <c r="I1276" s="35"/>
      <c r="J1276" s="35"/>
      <c r="K1276" s="35"/>
      <c r="L1276" s="35"/>
      <c r="M1276" s="35"/>
      <c r="N1276" s="35"/>
      <c r="O1276" s="35"/>
      <c r="P1276" s="35"/>
      <c r="Q1276" s="35"/>
      <c r="R1276" s="35"/>
    </row>
    <row r="1277" spans="6:18" ht="9.9499999999999993" customHeight="1">
      <c r="F1277" s="35"/>
      <c r="G1277" s="35"/>
      <c r="H1277" s="35"/>
      <c r="I1277" s="35"/>
      <c r="J1277" s="35"/>
      <c r="K1277" s="35"/>
      <c r="L1277" s="35"/>
      <c r="M1277" s="35"/>
      <c r="N1277" s="35"/>
      <c r="O1277" s="35"/>
      <c r="P1277" s="35"/>
      <c r="Q1277" s="35"/>
      <c r="R1277" s="35"/>
    </row>
    <row r="1278" spans="6:18" ht="9.9499999999999993" customHeight="1">
      <c r="F1278" s="35"/>
      <c r="G1278" s="35"/>
      <c r="H1278" s="35"/>
      <c r="I1278" s="35"/>
      <c r="J1278" s="35"/>
      <c r="K1278" s="35"/>
      <c r="L1278" s="35"/>
      <c r="M1278" s="35"/>
      <c r="N1278" s="35"/>
      <c r="O1278" s="35"/>
      <c r="P1278" s="35"/>
      <c r="Q1278" s="35"/>
      <c r="R1278" s="35"/>
    </row>
    <row r="1279" spans="6:18" ht="9.9499999999999993" customHeight="1">
      <c r="F1279" s="35"/>
      <c r="G1279" s="35"/>
      <c r="H1279" s="35"/>
      <c r="I1279" s="35"/>
      <c r="J1279" s="35"/>
      <c r="K1279" s="35"/>
      <c r="L1279" s="35"/>
      <c r="M1279" s="35"/>
      <c r="N1279" s="35"/>
      <c r="O1279" s="35"/>
      <c r="P1279" s="35"/>
      <c r="Q1279" s="35"/>
      <c r="R1279" s="35"/>
    </row>
    <row r="1280" spans="6:18" ht="9.9499999999999993" customHeight="1">
      <c r="F1280" s="35"/>
      <c r="G1280" s="35"/>
      <c r="H1280" s="35"/>
      <c r="I1280" s="35"/>
      <c r="J1280" s="35"/>
      <c r="K1280" s="35"/>
      <c r="L1280" s="35"/>
      <c r="M1280" s="35"/>
      <c r="N1280" s="35"/>
      <c r="O1280" s="35"/>
      <c r="P1280" s="35"/>
      <c r="Q1280" s="35"/>
      <c r="R1280" s="35"/>
    </row>
    <row r="1281" spans="6:18" ht="9.9499999999999993" customHeight="1">
      <c r="F1281" s="35"/>
      <c r="G1281" s="35"/>
      <c r="H1281" s="35"/>
      <c r="I1281" s="35"/>
      <c r="J1281" s="35"/>
      <c r="K1281" s="35"/>
      <c r="L1281" s="35"/>
      <c r="M1281" s="35"/>
      <c r="N1281" s="35"/>
      <c r="O1281" s="35"/>
      <c r="P1281" s="35"/>
      <c r="Q1281" s="35"/>
      <c r="R1281" s="35"/>
    </row>
    <row r="1282" spans="6:18" ht="9.9499999999999993" customHeight="1">
      <c r="F1282" s="35"/>
      <c r="G1282" s="35"/>
      <c r="H1282" s="35"/>
      <c r="I1282" s="35"/>
      <c r="J1282" s="35"/>
      <c r="K1282" s="35"/>
      <c r="L1282" s="35"/>
      <c r="M1282" s="35"/>
      <c r="N1282" s="35"/>
      <c r="O1282" s="35"/>
      <c r="P1282" s="35"/>
      <c r="Q1282" s="35"/>
      <c r="R1282" s="35"/>
    </row>
    <row r="1283" spans="6:18" ht="9.9499999999999993" customHeight="1">
      <c r="F1283" s="35"/>
      <c r="G1283" s="35"/>
      <c r="H1283" s="35"/>
      <c r="I1283" s="35"/>
      <c r="J1283" s="35"/>
      <c r="K1283" s="35"/>
      <c r="L1283" s="35"/>
      <c r="M1283" s="35"/>
      <c r="N1283" s="35"/>
      <c r="O1283" s="35"/>
      <c r="P1283" s="35"/>
      <c r="Q1283" s="35"/>
      <c r="R1283" s="35"/>
    </row>
    <row r="1284" spans="6:18" ht="9.9499999999999993" customHeight="1">
      <c r="F1284" s="35"/>
      <c r="G1284" s="35"/>
      <c r="H1284" s="35"/>
      <c r="I1284" s="35"/>
      <c r="J1284" s="35"/>
      <c r="K1284" s="35"/>
      <c r="L1284" s="35"/>
      <c r="M1284" s="35"/>
      <c r="N1284" s="35"/>
      <c r="O1284" s="35"/>
      <c r="P1284" s="35"/>
      <c r="Q1284" s="35"/>
      <c r="R1284" s="35"/>
    </row>
    <row r="1285" spans="6:18" ht="9.9499999999999993" customHeight="1">
      <c r="F1285" s="35"/>
      <c r="G1285" s="35"/>
      <c r="H1285" s="35"/>
      <c r="I1285" s="35"/>
      <c r="J1285" s="35"/>
      <c r="K1285" s="35"/>
      <c r="L1285" s="35"/>
      <c r="M1285" s="35"/>
      <c r="N1285" s="35"/>
      <c r="O1285" s="35"/>
      <c r="P1285" s="35"/>
      <c r="Q1285" s="35"/>
      <c r="R1285" s="35"/>
    </row>
    <row r="1286" spans="6:18" ht="9.9499999999999993" customHeight="1">
      <c r="F1286" s="35"/>
      <c r="G1286" s="35"/>
      <c r="H1286" s="35"/>
      <c r="I1286" s="35"/>
      <c r="J1286" s="35"/>
      <c r="K1286" s="35"/>
      <c r="L1286" s="35"/>
      <c r="M1286" s="35"/>
      <c r="N1286" s="35"/>
      <c r="O1286" s="35"/>
      <c r="P1286" s="35"/>
      <c r="Q1286" s="35"/>
      <c r="R1286" s="35"/>
    </row>
    <row r="1287" spans="6:18" ht="9.9499999999999993" customHeight="1">
      <c r="F1287" s="35"/>
      <c r="G1287" s="35"/>
      <c r="H1287" s="35"/>
      <c r="I1287" s="35"/>
      <c r="J1287" s="35"/>
      <c r="K1287" s="35"/>
      <c r="L1287" s="35"/>
      <c r="M1287" s="35"/>
      <c r="N1287" s="35"/>
      <c r="O1287" s="35"/>
      <c r="P1287" s="35"/>
      <c r="Q1287" s="35"/>
      <c r="R1287" s="35"/>
    </row>
    <row r="1288" spans="6:18" ht="9.9499999999999993" customHeight="1">
      <c r="F1288" s="35"/>
      <c r="G1288" s="35"/>
      <c r="H1288" s="35"/>
      <c r="I1288" s="35"/>
      <c r="J1288" s="35"/>
      <c r="K1288" s="35"/>
      <c r="L1288" s="35"/>
      <c r="M1288" s="35"/>
      <c r="N1288" s="35"/>
      <c r="O1288" s="35"/>
      <c r="P1288" s="35"/>
      <c r="Q1288" s="35"/>
      <c r="R1288" s="35"/>
    </row>
    <row r="1289" spans="6:18" ht="9.9499999999999993" customHeight="1">
      <c r="F1289" s="35"/>
      <c r="G1289" s="35"/>
      <c r="H1289" s="35"/>
      <c r="I1289" s="35"/>
      <c r="J1289" s="35"/>
      <c r="K1289" s="35"/>
      <c r="L1289" s="35"/>
      <c r="M1289" s="35"/>
      <c r="N1289" s="35"/>
      <c r="O1289" s="35"/>
      <c r="P1289" s="35"/>
      <c r="Q1289" s="35"/>
      <c r="R1289" s="35"/>
    </row>
    <row r="1290" spans="6:18" ht="9.9499999999999993" customHeight="1">
      <c r="F1290" s="35"/>
      <c r="G1290" s="35"/>
      <c r="H1290" s="35"/>
      <c r="I1290" s="35"/>
      <c r="J1290" s="35"/>
      <c r="K1290" s="35"/>
      <c r="L1290" s="35"/>
      <c r="M1290" s="35"/>
      <c r="N1290" s="35"/>
      <c r="O1290" s="35"/>
      <c r="P1290" s="35"/>
      <c r="Q1290" s="35"/>
      <c r="R1290" s="35"/>
    </row>
    <row r="1291" spans="6:18" ht="9.9499999999999993" customHeight="1">
      <c r="F1291" s="35"/>
      <c r="G1291" s="35"/>
      <c r="H1291" s="35"/>
      <c r="I1291" s="35"/>
      <c r="J1291" s="35"/>
      <c r="K1291" s="35"/>
      <c r="L1291" s="35"/>
      <c r="M1291" s="35"/>
      <c r="N1291" s="35"/>
      <c r="O1291" s="35"/>
      <c r="P1291" s="35"/>
      <c r="Q1291" s="35"/>
      <c r="R1291" s="35"/>
    </row>
    <row r="1292" spans="6:18" ht="9.9499999999999993" customHeight="1">
      <c r="F1292" s="35"/>
      <c r="G1292" s="35"/>
      <c r="H1292" s="35"/>
      <c r="I1292" s="35"/>
      <c r="J1292" s="35"/>
      <c r="K1292" s="35"/>
      <c r="L1292" s="35"/>
      <c r="M1292" s="35"/>
      <c r="N1292" s="35"/>
      <c r="O1292" s="35"/>
      <c r="P1292" s="35"/>
      <c r="Q1292" s="35"/>
      <c r="R1292" s="35"/>
    </row>
    <row r="1293" spans="6:18" ht="9.9499999999999993" customHeight="1">
      <c r="F1293" s="35"/>
      <c r="G1293" s="35"/>
      <c r="H1293" s="35"/>
      <c r="I1293" s="35"/>
      <c r="J1293" s="35"/>
      <c r="K1293" s="35"/>
      <c r="L1293" s="35"/>
      <c r="M1293" s="35"/>
      <c r="N1293" s="35"/>
      <c r="O1293" s="35"/>
      <c r="P1293" s="35"/>
      <c r="Q1293" s="35"/>
      <c r="R1293" s="35"/>
    </row>
    <row r="1294" spans="6:18" ht="9.9499999999999993" customHeight="1">
      <c r="F1294" s="35"/>
      <c r="G1294" s="35"/>
      <c r="H1294" s="35"/>
      <c r="I1294" s="35"/>
      <c r="J1294" s="35"/>
      <c r="K1294" s="35"/>
      <c r="L1294" s="35"/>
      <c r="M1294" s="35"/>
      <c r="N1294" s="35"/>
      <c r="O1294" s="35"/>
      <c r="P1294" s="35"/>
      <c r="Q1294" s="35"/>
      <c r="R1294" s="35"/>
    </row>
    <row r="1295" spans="6:18" ht="9.9499999999999993" customHeight="1">
      <c r="F1295" s="35"/>
      <c r="G1295" s="35"/>
      <c r="H1295" s="35"/>
      <c r="I1295" s="35"/>
      <c r="J1295" s="35"/>
      <c r="K1295" s="35"/>
      <c r="L1295" s="35"/>
      <c r="M1295" s="35"/>
      <c r="N1295" s="35"/>
      <c r="O1295" s="35"/>
      <c r="P1295" s="35"/>
      <c r="Q1295" s="35"/>
      <c r="R1295" s="35"/>
    </row>
    <row r="1296" spans="6:18" ht="9.9499999999999993" customHeight="1">
      <c r="F1296" s="35"/>
      <c r="G1296" s="35"/>
      <c r="H1296" s="35"/>
      <c r="I1296" s="35"/>
      <c r="J1296" s="35"/>
      <c r="K1296" s="35"/>
      <c r="L1296" s="35"/>
      <c r="M1296" s="35"/>
      <c r="N1296" s="35"/>
      <c r="O1296" s="35"/>
      <c r="P1296" s="35"/>
      <c r="Q1296" s="35"/>
      <c r="R1296" s="35"/>
    </row>
    <row r="1297" spans="6:18" ht="9.9499999999999993" customHeight="1">
      <c r="F1297" s="35"/>
      <c r="G1297" s="35"/>
      <c r="H1297" s="35"/>
      <c r="I1297" s="35"/>
      <c r="J1297" s="35"/>
      <c r="K1297" s="35"/>
      <c r="L1297" s="35"/>
      <c r="M1297" s="35"/>
      <c r="N1297" s="35"/>
      <c r="O1297" s="35"/>
      <c r="P1297" s="35"/>
      <c r="Q1297" s="35"/>
      <c r="R1297" s="35"/>
    </row>
    <row r="1298" spans="6:18" ht="9.9499999999999993" customHeight="1">
      <c r="F1298" s="35"/>
      <c r="G1298" s="35"/>
      <c r="H1298" s="35"/>
      <c r="I1298" s="35"/>
      <c r="J1298" s="35"/>
      <c r="K1298" s="35"/>
      <c r="L1298" s="35"/>
      <c r="M1298" s="35"/>
      <c r="N1298" s="35"/>
      <c r="O1298" s="35"/>
      <c r="P1298" s="35"/>
      <c r="Q1298" s="35"/>
      <c r="R1298" s="35"/>
    </row>
    <row r="1299" spans="6:18" ht="9.9499999999999993" customHeight="1">
      <c r="F1299" s="35"/>
      <c r="G1299" s="35"/>
      <c r="H1299" s="35"/>
      <c r="I1299" s="35"/>
      <c r="J1299" s="35"/>
      <c r="K1299" s="35"/>
      <c r="L1299" s="35"/>
      <c r="M1299" s="35"/>
      <c r="N1299" s="35"/>
      <c r="O1299" s="35"/>
      <c r="P1299" s="35"/>
      <c r="Q1299" s="35"/>
      <c r="R1299" s="35"/>
    </row>
    <row r="1300" spans="6:18" ht="9.9499999999999993" customHeight="1">
      <c r="F1300" s="35"/>
      <c r="G1300" s="35"/>
      <c r="H1300" s="35"/>
      <c r="I1300" s="35"/>
      <c r="J1300" s="35"/>
      <c r="K1300" s="35"/>
      <c r="L1300" s="35"/>
      <c r="M1300" s="35"/>
      <c r="N1300" s="35"/>
      <c r="O1300" s="35"/>
      <c r="P1300" s="35"/>
      <c r="Q1300" s="35"/>
      <c r="R1300" s="35"/>
    </row>
    <row r="1301" spans="6:18" ht="9.9499999999999993" customHeight="1">
      <c r="F1301" s="35"/>
      <c r="G1301" s="35"/>
      <c r="H1301" s="35"/>
      <c r="I1301" s="35"/>
      <c r="J1301" s="35"/>
      <c r="K1301" s="35"/>
      <c r="L1301" s="35"/>
      <c r="M1301" s="35"/>
      <c r="N1301" s="35"/>
      <c r="O1301" s="35"/>
      <c r="P1301" s="35"/>
      <c r="Q1301" s="35"/>
      <c r="R1301" s="35"/>
    </row>
    <row r="1302" spans="6:18" ht="9.9499999999999993" customHeight="1">
      <c r="F1302" s="35"/>
      <c r="G1302" s="35"/>
      <c r="H1302" s="35"/>
      <c r="I1302" s="35"/>
      <c r="J1302" s="35"/>
      <c r="K1302" s="35"/>
      <c r="L1302" s="35"/>
      <c r="M1302" s="35"/>
      <c r="N1302" s="35"/>
      <c r="O1302" s="35"/>
      <c r="P1302" s="35"/>
      <c r="Q1302" s="35"/>
      <c r="R1302" s="35"/>
    </row>
    <row r="1303" spans="6:18" ht="9.9499999999999993" customHeight="1">
      <c r="F1303" s="35"/>
      <c r="G1303" s="35"/>
      <c r="H1303" s="35"/>
      <c r="I1303" s="35"/>
      <c r="J1303" s="35"/>
      <c r="K1303" s="35"/>
      <c r="L1303" s="35"/>
      <c r="M1303" s="35"/>
      <c r="N1303" s="35"/>
      <c r="O1303" s="35"/>
      <c r="P1303" s="35"/>
      <c r="Q1303" s="35"/>
      <c r="R1303" s="35"/>
    </row>
    <row r="1304" spans="6:18" ht="9.9499999999999993" customHeight="1">
      <c r="F1304" s="35"/>
      <c r="G1304" s="35"/>
      <c r="H1304" s="35"/>
      <c r="I1304" s="35"/>
      <c r="J1304" s="35"/>
      <c r="K1304" s="35"/>
      <c r="L1304" s="35"/>
      <c r="M1304" s="35"/>
      <c r="N1304" s="35"/>
      <c r="O1304" s="35"/>
      <c r="P1304" s="35"/>
      <c r="Q1304" s="35"/>
      <c r="R1304" s="35"/>
    </row>
    <row r="1305" spans="6:18" ht="9.9499999999999993" customHeight="1">
      <c r="F1305" s="35"/>
      <c r="G1305" s="35"/>
      <c r="H1305" s="35"/>
      <c r="I1305" s="35"/>
      <c r="J1305" s="35"/>
      <c r="K1305" s="35"/>
      <c r="L1305" s="35"/>
      <c r="M1305" s="35"/>
      <c r="N1305" s="35"/>
      <c r="O1305" s="35"/>
      <c r="P1305" s="35"/>
      <c r="Q1305" s="35"/>
      <c r="R1305" s="35"/>
    </row>
    <row r="1306" spans="6:18" ht="9.9499999999999993" customHeight="1">
      <c r="F1306" s="35"/>
      <c r="G1306" s="35"/>
      <c r="H1306" s="35"/>
      <c r="I1306" s="35"/>
      <c r="J1306" s="35"/>
      <c r="K1306" s="35"/>
      <c r="L1306" s="35"/>
      <c r="M1306" s="35"/>
      <c r="N1306" s="35"/>
      <c r="O1306" s="35"/>
      <c r="P1306" s="35"/>
      <c r="Q1306" s="35"/>
      <c r="R1306" s="35"/>
    </row>
    <row r="1307" spans="6:18" ht="9.9499999999999993" customHeight="1">
      <c r="F1307" s="35"/>
      <c r="G1307" s="35"/>
      <c r="H1307" s="35"/>
      <c r="I1307" s="35"/>
      <c r="J1307" s="35"/>
      <c r="K1307" s="35"/>
      <c r="L1307" s="35"/>
      <c r="M1307" s="35"/>
      <c r="N1307" s="35"/>
      <c r="O1307" s="35"/>
      <c r="P1307" s="35"/>
      <c r="Q1307" s="35"/>
      <c r="R1307" s="35"/>
    </row>
    <row r="1308" spans="6:18" ht="9.9499999999999993" customHeight="1">
      <c r="F1308" s="35"/>
      <c r="G1308" s="35"/>
      <c r="H1308" s="35"/>
      <c r="I1308" s="35"/>
      <c r="J1308" s="35"/>
      <c r="K1308" s="35"/>
      <c r="L1308" s="35"/>
      <c r="M1308" s="35"/>
      <c r="N1308" s="35"/>
      <c r="O1308" s="35"/>
      <c r="P1308" s="35"/>
      <c r="Q1308" s="35"/>
      <c r="R1308" s="35"/>
    </row>
    <row r="1309" spans="6:18" ht="9.9499999999999993" customHeight="1">
      <c r="F1309" s="35"/>
      <c r="G1309" s="35"/>
      <c r="H1309" s="35"/>
      <c r="I1309" s="35"/>
      <c r="J1309" s="35"/>
      <c r="K1309" s="35"/>
      <c r="L1309" s="35"/>
      <c r="M1309" s="35"/>
      <c r="N1309" s="35"/>
      <c r="O1309" s="35"/>
      <c r="P1309" s="35"/>
      <c r="Q1309" s="35"/>
      <c r="R1309" s="35"/>
    </row>
    <row r="1310" spans="6:18" ht="9.9499999999999993" customHeight="1">
      <c r="F1310" s="35"/>
      <c r="G1310" s="35"/>
      <c r="H1310" s="35"/>
      <c r="I1310" s="35"/>
      <c r="J1310" s="35"/>
      <c r="K1310" s="35"/>
      <c r="L1310" s="35"/>
      <c r="M1310" s="35"/>
      <c r="N1310" s="35"/>
      <c r="O1310" s="35"/>
      <c r="P1310" s="35"/>
      <c r="Q1310" s="35"/>
      <c r="R1310" s="35"/>
    </row>
    <row r="1311" spans="6:18" ht="9.9499999999999993" customHeight="1">
      <c r="F1311" s="35"/>
      <c r="G1311" s="35"/>
      <c r="H1311" s="35"/>
      <c r="I1311" s="35"/>
      <c r="J1311" s="35"/>
      <c r="K1311" s="35"/>
      <c r="L1311" s="35"/>
      <c r="M1311" s="35"/>
      <c r="N1311" s="35"/>
      <c r="O1311" s="35"/>
      <c r="P1311" s="35"/>
      <c r="Q1311" s="35"/>
      <c r="R1311" s="35"/>
    </row>
    <row r="1312" spans="6:18" ht="9.9499999999999993" customHeight="1">
      <c r="F1312" s="35"/>
      <c r="G1312" s="35"/>
      <c r="H1312" s="35"/>
      <c r="I1312" s="35"/>
      <c r="J1312" s="35"/>
      <c r="K1312" s="35"/>
      <c r="L1312" s="35"/>
      <c r="M1312" s="35"/>
      <c r="N1312" s="35"/>
      <c r="O1312" s="35"/>
      <c r="P1312" s="35"/>
      <c r="Q1312" s="35"/>
      <c r="R1312" s="35"/>
    </row>
    <row r="1313" spans="6:18" ht="9.9499999999999993" customHeight="1">
      <c r="F1313" s="35"/>
      <c r="G1313" s="35"/>
      <c r="H1313" s="35"/>
      <c r="I1313" s="35"/>
      <c r="J1313" s="35"/>
      <c r="K1313" s="35"/>
      <c r="L1313" s="35"/>
      <c r="M1313" s="35"/>
      <c r="N1313" s="35"/>
      <c r="O1313" s="35"/>
      <c r="P1313" s="35"/>
      <c r="Q1313" s="35"/>
      <c r="R1313" s="35"/>
    </row>
    <row r="1314" spans="6:18" ht="9.9499999999999993" customHeight="1">
      <c r="F1314" s="35"/>
      <c r="G1314" s="35"/>
      <c r="H1314" s="35"/>
      <c r="I1314" s="35"/>
      <c r="J1314" s="35"/>
      <c r="K1314" s="35"/>
      <c r="L1314" s="35"/>
      <c r="M1314" s="35"/>
      <c r="N1314" s="35"/>
      <c r="O1314" s="35"/>
      <c r="P1314" s="35"/>
      <c r="Q1314" s="35"/>
      <c r="R1314" s="35"/>
    </row>
    <row r="1315" spans="6:18" ht="9.9499999999999993" customHeight="1">
      <c r="F1315" s="35"/>
      <c r="G1315" s="35"/>
      <c r="H1315" s="35"/>
      <c r="I1315" s="35"/>
      <c r="J1315" s="35"/>
      <c r="K1315" s="35"/>
      <c r="L1315" s="35"/>
      <c r="M1315" s="35"/>
      <c r="N1315" s="35"/>
      <c r="O1315" s="35"/>
      <c r="P1315" s="35"/>
      <c r="Q1315" s="35"/>
      <c r="R1315" s="35"/>
    </row>
    <row r="1316" spans="6:18" ht="9.9499999999999993" customHeight="1">
      <c r="F1316" s="35"/>
      <c r="G1316" s="35"/>
      <c r="H1316" s="35"/>
      <c r="I1316" s="35"/>
      <c r="J1316" s="35"/>
      <c r="K1316" s="35"/>
      <c r="L1316" s="35"/>
      <c r="M1316" s="35"/>
      <c r="N1316" s="35"/>
      <c r="O1316" s="35"/>
      <c r="P1316" s="35"/>
      <c r="Q1316" s="35"/>
      <c r="R1316" s="35"/>
    </row>
    <row r="1317" spans="6:18" ht="9.9499999999999993" customHeight="1">
      <c r="F1317" s="35"/>
      <c r="G1317" s="35"/>
      <c r="H1317" s="35"/>
      <c r="I1317" s="35"/>
      <c r="J1317" s="35"/>
      <c r="K1317" s="35"/>
      <c r="L1317" s="35"/>
      <c r="M1317" s="35"/>
      <c r="N1317" s="35"/>
      <c r="O1317" s="35"/>
      <c r="P1317" s="35"/>
      <c r="Q1317" s="35"/>
      <c r="R1317" s="35"/>
    </row>
    <row r="1318" spans="6:18" ht="9.9499999999999993" customHeight="1">
      <c r="F1318" s="35"/>
      <c r="G1318" s="35"/>
      <c r="H1318" s="35"/>
      <c r="I1318" s="35"/>
      <c r="J1318" s="35"/>
      <c r="K1318" s="35"/>
      <c r="L1318" s="35"/>
      <c r="M1318" s="35"/>
      <c r="N1318" s="35"/>
      <c r="O1318" s="35"/>
      <c r="P1318" s="35"/>
      <c r="Q1318" s="35"/>
      <c r="R1318" s="35"/>
    </row>
    <row r="1319" spans="6:18" ht="9.9499999999999993" customHeight="1">
      <c r="F1319" s="35"/>
      <c r="G1319" s="35"/>
      <c r="H1319" s="35"/>
      <c r="I1319" s="35"/>
      <c r="J1319" s="35"/>
      <c r="K1319" s="35"/>
      <c r="L1319" s="35"/>
      <c r="M1319" s="35"/>
      <c r="N1319" s="35"/>
      <c r="O1319" s="35"/>
      <c r="P1319" s="35"/>
      <c r="Q1319" s="35"/>
      <c r="R1319" s="35"/>
    </row>
    <row r="1320" spans="6:18" ht="9.9499999999999993" customHeight="1">
      <c r="F1320" s="35"/>
      <c r="G1320" s="35"/>
      <c r="H1320" s="35"/>
      <c r="I1320" s="35"/>
      <c r="J1320" s="35"/>
      <c r="K1320" s="35"/>
      <c r="L1320" s="35"/>
      <c r="M1320" s="35"/>
      <c r="N1320" s="35"/>
      <c r="O1320" s="35"/>
      <c r="P1320" s="35"/>
      <c r="Q1320" s="35"/>
      <c r="R1320" s="35"/>
    </row>
    <row r="1321" spans="6:18" ht="9.9499999999999993" customHeight="1">
      <c r="F1321" s="35"/>
      <c r="G1321" s="35"/>
      <c r="H1321" s="35"/>
      <c r="I1321" s="35"/>
      <c r="J1321" s="35"/>
      <c r="K1321" s="35"/>
      <c r="L1321" s="35"/>
      <c r="M1321" s="35"/>
      <c r="N1321" s="35"/>
      <c r="O1321" s="35"/>
      <c r="P1321" s="35"/>
      <c r="Q1321" s="35"/>
      <c r="R1321" s="35"/>
    </row>
    <row r="1322" spans="6:18" ht="9.9499999999999993" customHeight="1">
      <c r="F1322" s="35"/>
      <c r="G1322" s="35"/>
      <c r="H1322" s="35"/>
      <c r="I1322" s="35"/>
      <c r="J1322" s="35"/>
      <c r="K1322" s="35"/>
      <c r="L1322" s="35"/>
      <c r="M1322" s="35"/>
      <c r="N1322" s="35"/>
      <c r="O1322" s="35"/>
      <c r="P1322" s="35"/>
      <c r="Q1322" s="35"/>
      <c r="R1322" s="35"/>
    </row>
    <row r="1323" spans="6:18" ht="9.9499999999999993" customHeight="1">
      <c r="F1323" s="35"/>
      <c r="G1323" s="35"/>
      <c r="H1323" s="35"/>
      <c r="I1323" s="35"/>
      <c r="J1323" s="35"/>
      <c r="K1323" s="35"/>
      <c r="L1323" s="35"/>
      <c r="M1323" s="35"/>
      <c r="N1323" s="35"/>
      <c r="O1323" s="35"/>
      <c r="P1323" s="35"/>
      <c r="Q1323" s="35"/>
      <c r="R1323" s="35"/>
    </row>
    <row r="1324" spans="6:18" ht="9.9499999999999993" customHeight="1">
      <c r="F1324" s="35"/>
      <c r="G1324" s="35"/>
      <c r="H1324" s="35"/>
      <c r="I1324" s="35"/>
      <c r="J1324" s="35"/>
      <c r="K1324" s="35"/>
      <c r="L1324" s="35"/>
      <c r="M1324" s="35"/>
      <c r="N1324" s="35"/>
      <c r="O1324" s="35"/>
      <c r="P1324" s="35"/>
      <c r="Q1324" s="35"/>
      <c r="R1324" s="35"/>
    </row>
    <row r="1325" spans="6:18" ht="9.9499999999999993" customHeight="1">
      <c r="F1325" s="35"/>
      <c r="G1325" s="35"/>
      <c r="H1325" s="35"/>
      <c r="I1325" s="35"/>
      <c r="J1325" s="35"/>
      <c r="K1325" s="35"/>
      <c r="L1325" s="35"/>
      <c r="M1325" s="35"/>
      <c r="N1325" s="35"/>
      <c r="O1325" s="35"/>
      <c r="P1325" s="35"/>
      <c r="Q1325" s="35"/>
      <c r="R1325" s="35"/>
    </row>
    <row r="1326" spans="6:18" ht="9.9499999999999993" customHeight="1">
      <c r="F1326" s="35"/>
      <c r="G1326" s="35"/>
      <c r="H1326" s="35"/>
      <c r="I1326" s="35"/>
      <c r="J1326" s="35"/>
      <c r="K1326" s="35"/>
      <c r="L1326" s="35"/>
      <c r="M1326" s="35"/>
      <c r="N1326" s="35"/>
      <c r="O1326" s="35"/>
      <c r="P1326" s="35"/>
      <c r="Q1326" s="35"/>
      <c r="R1326" s="35"/>
    </row>
    <row r="1327" spans="6:18" ht="9.9499999999999993" customHeight="1">
      <c r="F1327" s="35"/>
      <c r="G1327" s="35"/>
      <c r="H1327" s="35"/>
      <c r="I1327" s="35"/>
      <c r="J1327" s="35"/>
      <c r="K1327" s="35"/>
      <c r="L1327" s="35"/>
      <c r="M1327" s="35"/>
      <c r="N1327" s="35"/>
      <c r="O1327" s="35"/>
      <c r="P1327" s="35"/>
      <c r="Q1327" s="35"/>
      <c r="R1327" s="35"/>
    </row>
    <row r="1328" spans="6:18" ht="9.9499999999999993" customHeight="1">
      <c r="F1328" s="35"/>
      <c r="G1328" s="35"/>
      <c r="H1328" s="35"/>
      <c r="I1328" s="35"/>
      <c r="J1328" s="35"/>
      <c r="K1328" s="35"/>
      <c r="L1328" s="35"/>
      <c r="M1328" s="35"/>
      <c r="N1328" s="35"/>
      <c r="O1328" s="35"/>
      <c r="P1328" s="35"/>
      <c r="Q1328" s="35"/>
      <c r="R1328" s="35"/>
    </row>
    <row r="1329" spans="6:18" ht="9.9499999999999993" customHeight="1">
      <c r="F1329" s="35"/>
      <c r="G1329" s="35"/>
      <c r="H1329" s="35"/>
      <c r="I1329" s="35"/>
      <c r="J1329" s="35"/>
      <c r="K1329" s="35"/>
      <c r="L1329" s="35"/>
      <c r="M1329" s="35"/>
      <c r="N1329" s="35"/>
      <c r="O1329" s="35"/>
      <c r="P1329" s="35"/>
      <c r="Q1329" s="35"/>
      <c r="R1329" s="35"/>
    </row>
    <row r="1330" spans="6:18" ht="9.9499999999999993" customHeight="1">
      <c r="F1330" s="35"/>
      <c r="G1330" s="35"/>
      <c r="H1330" s="35"/>
      <c r="I1330" s="35"/>
      <c r="J1330" s="35"/>
      <c r="K1330" s="35"/>
      <c r="L1330" s="35"/>
      <c r="M1330" s="35"/>
      <c r="N1330" s="35"/>
      <c r="O1330" s="35"/>
      <c r="P1330" s="35"/>
      <c r="Q1330" s="35"/>
      <c r="R1330" s="35"/>
    </row>
    <row r="1331" spans="6:18" ht="9.9499999999999993" customHeight="1">
      <c r="F1331" s="35"/>
      <c r="G1331" s="35"/>
      <c r="H1331" s="35"/>
      <c r="I1331" s="35"/>
      <c r="J1331" s="35"/>
      <c r="K1331" s="35"/>
      <c r="L1331" s="35"/>
      <c r="M1331" s="35"/>
      <c r="N1331" s="35"/>
      <c r="O1331" s="35"/>
      <c r="P1331" s="35"/>
      <c r="Q1331" s="35"/>
      <c r="R1331" s="35"/>
    </row>
    <row r="1332" spans="6:18" ht="9.9499999999999993" customHeight="1">
      <c r="F1332" s="35"/>
      <c r="G1332" s="35"/>
      <c r="H1332" s="35"/>
      <c r="I1332" s="35"/>
      <c r="J1332" s="35"/>
      <c r="K1332" s="35"/>
      <c r="L1332" s="35"/>
      <c r="M1332" s="35"/>
      <c r="N1332" s="35"/>
      <c r="O1332" s="35"/>
      <c r="P1332" s="35"/>
      <c r="Q1332" s="35"/>
      <c r="R1332" s="35"/>
    </row>
    <row r="1333" spans="6:18" ht="9.9499999999999993" customHeight="1">
      <c r="F1333" s="35"/>
      <c r="G1333" s="35"/>
      <c r="H1333" s="35"/>
      <c r="I1333" s="35"/>
      <c r="J1333" s="35"/>
      <c r="K1333" s="35"/>
      <c r="L1333" s="35"/>
      <c r="M1333" s="35"/>
      <c r="N1333" s="35"/>
      <c r="O1333" s="35"/>
      <c r="P1333" s="35"/>
      <c r="Q1333" s="35"/>
      <c r="R1333" s="35"/>
    </row>
    <row r="1334" spans="6:18" ht="9.9499999999999993" customHeight="1">
      <c r="F1334" s="35"/>
      <c r="G1334" s="35"/>
      <c r="H1334" s="35"/>
      <c r="I1334" s="35"/>
      <c r="J1334" s="35"/>
      <c r="K1334" s="35"/>
      <c r="L1334" s="35"/>
      <c r="M1334" s="35"/>
      <c r="N1334" s="35"/>
      <c r="O1334" s="35"/>
      <c r="P1334" s="35"/>
      <c r="Q1334" s="35"/>
      <c r="R1334" s="35"/>
    </row>
    <row r="1335" spans="6:18" ht="9.9499999999999993" customHeight="1">
      <c r="F1335" s="35"/>
      <c r="G1335" s="35"/>
      <c r="H1335" s="35"/>
      <c r="I1335" s="35"/>
      <c r="J1335" s="35"/>
      <c r="K1335" s="35"/>
      <c r="L1335" s="35"/>
      <c r="M1335" s="35"/>
      <c r="N1335" s="35"/>
      <c r="O1335" s="35"/>
      <c r="P1335" s="35"/>
      <c r="Q1335" s="35"/>
      <c r="R1335" s="35"/>
    </row>
    <row r="1336" spans="6:18" ht="9.9499999999999993" customHeight="1">
      <c r="F1336" s="35"/>
      <c r="G1336" s="35"/>
      <c r="H1336" s="35"/>
      <c r="I1336" s="35"/>
      <c r="J1336" s="35"/>
      <c r="K1336" s="35"/>
      <c r="L1336" s="35"/>
      <c r="M1336" s="35"/>
      <c r="N1336" s="35"/>
      <c r="O1336" s="35"/>
      <c r="P1336" s="35"/>
      <c r="Q1336" s="35"/>
      <c r="R1336" s="35"/>
    </row>
    <row r="1337" spans="6:18" ht="9.9499999999999993" customHeight="1">
      <c r="F1337" s="35"/>
      <c r="G1337" s="35"/>
      <c r="H1337" s="35"/>
      <c r="I1337" s="35"/>
      <c r="J1337" s="35"/>
      <c r="K1337" s="35"/>
      <c r="L1337" s="35"/>
      <c r="M1337" s="35"/>
      <c r="N1337" s="35"/>
      <c r="O1337" s="35"/>
      <c r="P1337" s="35"/>
      <c r="Q1337" s="35"/>
      <c r="R1337" s="35"/>
    </row>
    <row r="1338" spans="6:18" ht="9.9499999999999993" customHeight="1">
      <c r="F1338" s="35"/>
      <c r="G1338" s="35"/>
      <c r="H1338" s="35"/>
      <c r="I1338" s="35"/>
      <c r="J1338" s="35"/>
      <c r="K1338" s="35"/>
      <c r="L1338" s="35"/>
      <c r="M1338" s="35"/>
      <c r="N1338" s="35"/>
      <c r="O1338" s="35"/>
      <c r="P1338" s="35"/>
      <c r="Q1338" s="35"/>
      <c r="R1338" s="35"/>
    </row>
    <row r="1339" spans="6:18" ht="9.9499999999999993" customHeight="1">
      <c r="F1339" s="35"/>
      <c r="G1339" s="35"/>
      <c r="H1339" s="35"/>
      <c r="I1339" s="35"/>
      <c r="J1339" s="35"/>
      <c r="K1339" s="35"/>
      <c r="L1339" s="35"/>
      <c r="M1339" s="35"/>
      <c r="N1339" s="35"/>
      <c r="O1339" s="35"/>
      <c r="P1339" s="35"/>
      <c r="Q1339" s="35"/>
      <c r="R1339" s="35"/>
    </row>
    <row r="1340" spans="6:18" ht="9.9499999999999993" customHeight="1">
      <c r="F1340" s="35"/>
      <c r="G1340" s="35"/>
      <c r="H1340" s="35"/>
      <c r="I1340" s="35"/>
      <c r="J1340" s="35"/>
      <c r="K1340" s="35"/>
      <c r="L1340" s="35"/>
      <c r="M1340" s="35"/>
      <c r="N1340" s="35"/>
      <c r="O1340" s="35"/>
      <c r="P1340" s="35"/>
      <c r="Q1340" s="35"/>
      <c r="R1340" s="35"/>
    </row>
    <row r="1341" spans="6:18" ht="9.9499999999999993" customHeight="1">
      <c r="F1341" s="35"/>
      <c r="G1341" s="35"/>
      <c r="H1341" s="35"/>
      <c r="I1341" s="35"/>
      <c r="J1341" s="35"/>
      <c r="K1341" s="35"/>
      <c r="L1341" s="35"/>
      <c r="M1341" s="35"/>
      <c r="N1341" s="35"/>
      <c r="O1341" s="35"/>
      <c r="P1341" s="35"/>
      <c r="Q1341" s="35"/>
      <c r="R1341" s="35"/>
    </row>
    <row r="1342" spans="6:18" ht="9.9499999999999993" customHeight="1">
      <c r="F1342" s="35"/>
      <c r="G1342" s="35"/>
      <c r="H1342" s="35"/>
      <c r="I1342" s="35"/>
      <c r="J1342" s="35"/>
      <c r="K1342" s="35"/>
      <c r="L1342" s="35"/>
      <c r="M1342" s="35"/>
      <c r="N1342" s="35"/>
      <c r="O1342" s="35"/>
      <c r="P1342" s="35"/>
      <c r="Q1342" s="35"/>
      <c r="R1342" s="35"/>
    </row>
    <row r="1343" spans="6:18" ht="9.9499999999999993" customHeight="1">
      <c r="F1343" s="35"/>
      <c r="G1343" s="35"/>
      <c r="H1343" s="35"/>
      <c r="I1343" s="35"/>
      <c r="J1343" s="35"/>
      <c r="K1343" s="35"/>
      <c r="L1343" s="35"/>
      <c r="M1343" s="35"/>
      <c r="N1343" s="35"/>
      <c r="O1343" s="35"/>
      <c r="P1343" s="35"/>
      <c r="Q1343" s="35"/>
      <c r="R1343" s="35"/>
    </row>
    <row r="1344" spans="6:18" ht="9.9499999999999993" customHeight="1">
      <c r="F1344" s="35"/>
      <c r="G1344" s="35"/>
      <c r="H1344" s="35"/>
      <c r="I1344" s="35"/>
      <c r="J1344" s="35"/>
      <c r="K1344" s="35"/>
      <c r="L1344" s="35"/>
      <c r="M1344" s="35"/>
      <c r="N1344" s="35"/>
      <c r="O1344" s="35"/>
      <c r="P1344" s="35"/>
      <c r="Q1344" s="35"/>
      <c r="R1344" s="35"/>
    </row>
    <row r="1345" spans="6:18" ht="9.9499999999999993" customHeight="1">
      <c r="F1345" s="35"/>
      <c r="G1345" s="35"/>
      <c r="H1345" s="35"/>
      <c r="I1345" s="35"/>
      <c r="J1345" s="35"/>
      <c r="K1345" s="35"/>
      <c r="L1345" s="35"/>
      <c r="M1345" s="35"/>
      <c r="N1345" s="35"/>
      <c r="O1345" s="35"/>
      <c r="P1345" s="35"/>
      <c r="Q1345" s="35"/>
      <c r="R1345" s="35"/>
    </row>
    <row r="1346" spans="6:18" ht="9.9499999999999993" customHeight="1">
      <c r="F1346" s="35"/>
      <c r="G1346" s="35"/>
      <c r="H1346" s="35"/>
      <c r="I1346" s="35"/>
      <c r="J1346" s="35"/>
      <c r="K1346" s="35"/>
      <c r="L1346" s="35"/>
      <c r="M1346" s="35"/>
      <c r="N1346" s="35"/>
      <c r="O1346" s="35"/>
      <c r="P1346" s="35"/>
      <c r="Q1346" s="35"/>
      <c r="R1346" s="35"/>
    </row>
    <row r="1347" spans="6:18" ht="9.9499999999999993" customHeight="1">
      <c r="F1347" s="35"/>
      <c r="G1347" s="35"/>
      <c r="H1347" s="35"/>
      <c r="I1347" s="35"/>
      <c r="J1347" s="35"/>
      <c r="K1347" s="35"/>
      <c r="L1347" s="35"/>
      <c r="M1347" s="35"/>
      <c r="N1347" s="35"/>
      <c r="O1347" s="35"/>
      <c r="P1347" s="35"/>
      <c r="Q1347" s="35"/>
      <c r="R1347" s="35"/>
    </row>
    <row r="1348" spans="6:18" ht="9.9499999999999993" customHeight="1">
      <c r="F1348" s="35"/>
      <c r="G1348" s="35"/>
      <c r="H1348" s="35"/>
      <c r="I1348" s="35"/>
      <c r="J1348" s="35"/>
      <c r="K1348" s="35"/>
      <c r="L1348" s="35"/>
      <c r="M1348" s="35"/>
      <c r="N1348" s="35"/>
      <c r="O1348" s="35"/>
      <c r="P1348" s="35"/>
      <c r="Q1348" s="35"/>
      <c r="R1348" s="35"/>
    </row>
    <row r="1349" spans="6:18" ht="9.9499999999999993" customHeight="1">
      <c r="F1349" s="35"/>
      <c r="G1349" s="35"/>
      <c r="H1349" s="35"/>
      <c r="I1349" s="35"/>
      <c r="J1349" s="35"/>
      <c r="K1349" s="35"/>
      <c r="L1349" s="35"/>
      <c r="M1349" s="35"/>
      <c r="N1349" s="35"/>
      <c r="O1349" s="35"/>
      <c r="P1349" s="35"/>
      <c r="Q1349" s="35"/>
      <c r="R1349" s="35"/>
    </row>
    <row r="1350" spans="6:18" ht="9.9499999999999993" customHeight="1">
      <c r="F1350" s="35"/>
      <c r="G1350" s="35"/>
      <c r="H1350" s="35"/>
      <c r="I1350" s="35"/>
      <c r="J1350" s="35"/>
      <c r="K1350" s="35"/>
      <c r="L1350" s="35"/>
      <c r="M1350" s="35"/>
      <c r="N1350" s="35"/>
      <c r="O1350" s="35"/>
      <c r="P1350" s="35"/>
      <c r="Q1350" s="35"/>
      <c r="R1350" s="35"/>
    </row>
    <row r="1351" spans="6:18" ht="9.9499999999999993" customHeight="1">
      <c r="F1351" s="35"/>
      <c r="G1351" s="35"/>
      <c r="H1351" s="35"/>
      <c r="I1351" s="35"/>
      <c r="J1351" s="35"/>
      <c r="K1351" s="35"/>
      <c r="L1351" s="35"/>
      <c r="M1351" s="35"/>
      <c r="N1351" s="35"/>
      <c r="O1351" s="35"/>
      <c r="P1351" s="35"/>
      <c r="Q1351" s="35"/>
      <c r="R1351" s="35"/>
    </row>
    <row r="1352" spans="6:18" ht="9.9499999999999993" customHeight="1">
      <c r="F1352" s="35"/>
      <c r="G1352" s="35"/>
      <c r="H1352" s="35"/>
      <c r="I1352" s="35"/>
      <c r="J1352" s="35"/>
      <c r="K1352" s="35"/>
      <c r="L1352" s="35"/>
      <c r="M1352" s="35"/>
      <c r="N1352" s="35"/>
      <c r="O1352" s="35"/>
      <c r="P1352" s="35"/>
      <c r="Q1352" s="35"/>
      <c r="R1352" s="35"/>
    </row>
    <row r="1353" spans="6:18" ht="9.9499999999999993" customHeight="1">
      <c r="F1353" s="35"/>
      <c r="G1353" s="35"/>
      <c r="H1353" s="35"/>
      <c r="I1353" s="35"/>
      <c r="J1353" s="35"/>
      <c r="K1353" s="35"/>
      <c r="L1353" s="35"/>
      <c r="M1353" s="35"/>
      <c r="N1353" s="35"/>
      <c r="O1353" s="35"/>
      <c r="P1353" s="35"/>
      <c r="Q1353" s="35"/>
      <c r="R1353" s="35"/>
    </row>
    <row r="1354" spans="6:18" ht="9.9499999999999993" customHeight="1">
      <c r="F1354" s="35"/>
      <c r="G1354" s="35"/>
      <c r="H1354" s="35"/>
      <c r="I1354" s="35"/>
      <c r="J1354" s="35"/>
      <c r="K1354" s="35"/>
      <c r="L1354" s="35"/>
      <c r="M1354" s="35"/>
      <c r="N1354" s="35"/>
      <c r="O1354" s="35"/>
      <c r="P1354" s="35"/>
      <c r="Q1354" s="35"/>
      <c r="R1354" s="35"/>
    </row>
    <row r="1355" spans="6:18" ht="9.9499999999999993" customHeight="1">
      <c r="F1355" s="35"/>
      <c r="G1355" s="35"/>
      <c r="H1355" s="35"/>
      <c r="I1355" s="35"/>
      <c r="J1355" s="35"/>
      <c r="K1355" s="35"/>
      <c r="L1355" s="35"/>
      <c r="M1355" s="35"/>
      <c r="N1355" s="35"/>
      <c r="O1355" s="35"/>
      <c r="P1355" s="35"/>
      <c r="Q1355" s="35"/>
      <c r="R1355" s="35"/>
    </row>
    <row r="1356" spans="6:18" ht="9.9499999999999993" customHeight="1">
      <c r="F1356" s="35"/>
      <c r="G1356" s="35"/>
      <c r="H1356" s="35"/>
      <c r="I1356" s="35"/>
      <c r="J1356" s="35"/>
      <c r="K1356" s="35"/>
      <c r="L1356" s="35"/>
      <c r="M1356" s="35"/>
      <c r="N1356" s="35"/>
      <c r="O1356" s="35"/>
      <c r="P1356" s="35"/>
      <c r="Q1356" s="35"/>
      <c r="R1356" s="35"/>
    </row>
    <row r="1357" spans="6:18" ht="9.9499999999999993" customHeight="1">
      <c r="F1357" s="35"/>
      <c r="G1357" s="35"/>
      <c r="H1357" s="35"/>
      <c r="I1357" s="35"/>
      <c r="J1357" s="35"/>
      <c r="K1357" s="35"/>
      <c r="L1357" s="35"/>
      <c r="M1357" s="35"/>
      <c r="N1357" s="35"/>
      <c r="O1357" s="35"/>
      <c r="P1357" s="35"/>
      <c r="Q1357" s="35"/>
      <c r="R1357" s="35"/>
    </row>
    <row r="1358" spans="6:18" ht="9.9499999999999993" customHeight="1">
      <c r="F1358" s="35"/>
      <c r="G1358" s="35"/>
      <c r="H1358" s="35"/>
      <c r="I1358" s="35"/>
      <c r="J1358" s="35"/>
      <c r="K1358" s="35"/>
      <c r="L1358" s="35"/>
      <c r="M1358" s="35"/>
      <c r="N1358" s="35"/>
      <c r="O1358" s="35"/>
      <c r="P1358" s="35"/>
      <c r="Q1358" s="35"/>
      <c r="R1358" s="35"/>
    </row>
    <row r="1359" spans="6:18" ht="9.9499999999999993" customHeight="1">
      <c r="F1359" s="35"/>
      <c r="G1359" s="35"/>
      <c r="H1359" s="35"/>
      <c r="I1359" s="35"/>
      <c r="J1359" s="35"/>
      <c r="K1359" s="35"/>
      <c r="L1359" s="35"/>
      <c r="M1359" s="35"/>
      <c r="N1359" s="35"/>
      <c r="O1359" s="35"/>
      <c r="P1359" s="35"/>
      <c r="Q1359" s="35"/>
      <c r="R1359" s="35"/>
    </row>
    <row r="1360" spans="6:18" ht="9.9499999999999993" customHeight="1">
      <c r="F1360" s="35"/>
      <c r="G1360" s="35"/>
      <c r="H1360" s="35"/>
      <c r="I1360" s="35"/>
      <c r="J1360" s="35"/>
      <c r="K1360" s="35"/>
      <c r="L1360" s="35"/>
      <c r="M1360" s="35"/>
      <c r="N1360" s="35"/>
      <c r="O1360" s="35"/>
      <c r="P1360" s="35"/>
      <c r="Q1360" s="35"/>
      <c r="R1360" s="35"/>
    </row>
    <row r="1361" spans="6:18" ht="9.9499999999999993" customHeight="1">
      <c r="F1361" s="35"/>
      <c r="G1361" s="35"/>
      <c r="H1361" s="35"/>
      <c r="I1361" s="35"/>
      <c r="J1361" s="35"/>
      <c r="K1361" s="35"/>
      <c r="L1361" s="35"/>
      <c r="M1361" s="35"/>
      <c r="N1361" s="35"/>
      <c r="O1361" s="35"/>
      <c r="P1361" s="35"/>
      <c r="Q1361" s="35"/>
      <c r="R1361" s="35"/>
    </row>
    <row r="1362" spans="6:18" ht="9.9499999999999993" customHeight="1">
      <c r="F1362" s="35"/>
      <c r="G1362" s="35"/>
      <c r="H1362" s="35"/>
      <c r="I1362" s="35"/>
      <c r="J1362" s="35"/>
      <c r="K1362" s="35"/>
      <c r="L1362" s="35"/>
      <c r="M1362" s="35"/>
      <c r="N1362" s="35"/>
      <c r="O1362" s="35"/>
      <c r="P1362" s="35"/>
      <c r="Q1362" s="35"/>
      <c r="R1362" s="35"/>
    </row>
    <row r="1363" spans="6:18" ht="9.9499999999999993" customHeight="1">
      <c r="F1363" s="35"/>
      <c r="G1363" s="35"/>
      <c r="H1363" s="35"/>
      <c r="I1363" s="35"/>
      <c r="J1363" s="35"/>
      <c r="K1363" s="35"/>
      <c r="L1363" s="35"/>
      <c r="M1363" s="35"/>
      <c r="N1363" s="35"/>
      <c r="O1363" s="35"/>
      <c r="P1363" s="35"/>
      <c r="Q1363" s="35"/>
      <c r="R1363" s="35"/>
    </row>
    <row r="1364" spans="6:18" ht="9.9499999999999993" customHeight="1">
      <c r="F1364" s="35"/>
      <c r="G1364" s="35"/>
      <c r="H1364" s="35"/>
      <c r="I1364" s="35"/>
      <c r="J1364" s="35"/>
      <c r="K1364" s="35"/>
      <c r="L1364" s="35"/>
      <c r="M1364" s="35"/>
      <c r="N1364" s="35"/>
      <c r="O1364" s="35"/>
      <c r="P1364" s="35"/>
      <c r="Q1364" s="35"/>
      <c r="R1364" s="35"/>
    </row>
    <row r="1365" spans="6:18" ht="9.9499999999999993" customHeight="1">
      <c r="F1365" s="35"/>
      <c r="G1365" s="35"/>
      <c r="H1365" s="35"/>
      <c r="I1365" s="35"/>
      <c r="J1365" s="35"/>
      <c r="K1365" s="35"/>
      <c r="L1365" s="35"/>
      <c r="M1365" s="35"/>
      <c r="N1365" s="35"/>
      <c r="O1365" s="35"/>
      <c r="P1365" s="35"/>
      <c r="Q1365" s="35"/>
      <c r="R1365" s="35"/>
    </row>
    <row r="1366" spans="6:18" ht="9.9499999999999993" customHeight="1">
      <c r="F1366" s="35"/>
      <c r="G1366" s="35"/>
      <c r="H1366" s="35"/>
      <c r="I1366" s="35"/>
      <c r="J1366" s="35"/>
      <c r="K1366" s="35"/>
      <c r="L1366" s="35"/>
      <c r="M1366" s="35"/>
      <c r="N1366" s="35"/>
      <c r="O1366" s="35"/>
      <c r="P1366" s="35"/>
      <c r="Q1366" s="35"/>
      <c r="R1366" s="35"/>
    </row>
    <row r="1367" spans="6:18" ht="9.9499999999999993" customHeight="1">
      <c r="F1367" s="35"/>
      <c r="G1367" s="35"/>
      <c r="H1367" s="35"/>
      <c r="I1367" s="35"/>
      <c r="J1367" s="35"/>
      <c r="K1367" s="35"/>
      <c r="L1367" s="35"/>
      <c r="M1367" s="35"/>
      <c r="N1367" s="35"/>
      <c r="O1367" s="35"/>
      <c r="P1367" s="35"/>
      <c r="Q1367" s="35"/>
      <c r="R1367" s="35"/>
    </row>
    <row r="1368" spans="6:18" ht="9.9499999999999993" customHeight="1">
      <c r="F1368" s="35"/>
      <c r="G1368" s="35"/>
      <c r="H1368" s="35"/>
      <c r="I1368" s="35"/>
      <c r="J1368" s="35"/>
      <c r="K1368" s="35"/>
      <c r="L1368" s="35"/>
      <c r="M1368" s="35"/>
      <c r="N1368" s="35"/>
      <c r="O1368" s="35"/>
      <c r="P1368" s="35"/>
      <c r="Q1368" s="35"/>
      <c r="R1368" s="35"/>
    </row>
    <row r="1369" spans="6:18" ht="9.9499999999999993" customHeight="1">
      <c r="F1369" s="35"/>
      <c r="G1369" s="35"/>
      <c r="H1369" s="35"/>
      <c r="I1369" s="35"/>
      <c r="J1369" s="35"/>
      <c r="K1369" s="35"/>
      <c r="L1369" s="35"/>
      <c r="M1369" s="35"/>
      <c r="N1369" s="35"/>
      <c r="O1369" s="35"/>
      <c r="P1369" s="35"/>
      <c r="Q1369" s="35"/>
      <c r="R1369" s="35"/>
    </row>
    <row r="1370" spans="6:18" ht="9.9499999999999993" customHeight="1">
      <c r="F1370" s="35"/>
      <c r="G1370" s="35"/>
      <c r="H1370" s="35"/>
      <c r="I1370" s="35"/>
      <c r="J1370" s="35"/>
      <c r="K1370" s="35"/>
      <c r="L1370" s="35"/>
      <c r="M1370" s="35"/>
      <c r="N1370" s="35"/>
      <c r="O1370" s="35"/>
      <c r="P1370" s="35"/>
      <c r="Q1370" s="35"/>
      <c r="R1370" s="35"/>
    </row>
    <row r="1371" spans="6:18" ht="9.9499999999999993" customHeight="1">
      <c r="F1371" s="35"/>
      <c r="G1371" s="35"/>
      <c r="H1371" s="35"/>
      <c r="I1371" s="35"/>
      <c r="J1371" s="35"/>
      <c r="K1371" s="35"/>
      <c r="L1371" s="35"/>
      <c r="M1371" s="35"/>
      <c r="N1371" s="35"/>
      <c r="O1371" s="35"/>
      <c r="P1371" s="35"/>
      <c r="Q1371" s="35"/>
      <c r="R1371" s="35"/>
    </row>
    <row r="1372" spans="6:18" ht="9.9499999999999993" customHeight="1">
      <c r="F1372" s="35"/>
      <c r="G1372" s="35"/>
      <c r="H1372" s="35"/>
      <c r="I1372" s="35"/>
      <c r="J1372" s="35"/>
      <c r="K1372" s="35"/>
      <c r="L1372" s="35"/>
      <c r="M1372" s="35"/>
      <c r="N1372" s="35"/>
      <c r="O1372" s="35"/>
      <c r="P1372" s="35"/>
      <c r="Q1372" s="35"/>
      <c r="R1372" s="35"/>
    </row>
    <row r="1373" spans="6:18" ht="9.9499999999999993" customHeight="1">
      <c r="F1373" s="35"/>
      <c r="G1373" s="35"/>
      <c r="H1373" s="35"/>
      <c r="I1373" s="35"/>
      <c r="J1373" s="35"/>
      <c r="K1373" s="35"/>
      <c r="L1373" s="35"/>
      <c r="M1373" s="35"/>
      <c r="N1373" s="35"/>
      <c r="O1373" s="35"/>
      <c r="P1373" s="35"/>
      <c r="Q1373" s="35"/>
      <c r="R1373" s="35"/>
    </row>
    <row r="1374" spans="6:18" ht="9.9499999999999993" customHeight="1">
      <c r="F1374" s="35"/>
      <c r="G1374" s="35"/>
      <c r="H1374" s="35"/>
      <c r="I1374" s="35"/>
      <c r="J1374" s="35"/>
      <c r="K1374" s="35"/>
      <c r="L1374" s="35"/>
      <c r="M1374" s="35"/>
      <c r="N1374" s="35"/>
      <c r="O1374" s="35"/>
      <c r="P1374" s="35"/>
      <c r="Q1374" s="35"/>
      <c r="R1374" s="35"/>
    </row>
    <row r="1375" spans="6:18" ht="9.9499999999999993" customHeight="1">
      <c r="F1375" s="35"/>
      <c r="G1375" s="35"/>
      <c r="H1375" s="35"/>
      <c r="I1375" s="35"/>
      <c r="J1375" s="35"/>
      <c r="K1375" s="35"/>
      <c r="L1375" s="35"/>
      <c r="M1375" s="35"/>
      <c r="N1375" s="35"/>
      <c r="O1375" s="35"/>
      <c r="P1375" s="35"/>
      <c r="Q1375" s="35"/>
      <c r="R1375" s="35"/>
    </row>
    <row r="1376" spans="6:18" ht="9.9499999999999993" customHeight="1">
      <c r="F1376" s="35"/>
      <c r="G1376" s="35"/>
      <c r="H1376" s="35"/>
      <c r="I1376" s="35"/>
      <c r="J1376" s="35"/>
      <c r="K1376" s="35"/>
      <c r="L1376" s="35"/>
      <c r="M1376" s="35"/>
      <c r="N1376" s="35"/>
      <c r="O1376" s="35"/>
      <c r="P1376" s="35"/>
      <c r="Q1376" s="35"/>
      <c r="R1376" s="35"/>
    </row>
    <row r="1377" spans="6:18" ht="9.9499999999999993" customHeight="1">
      <c r="F1377" s="35"/>
      <c r="G1377" s="35"/>
      <c r="H1377" s="35"/>
      <c r="I1377" s="35"/>
      <c r="J1377" s="35"/>
      <c r="K1377" s="35"/>
      <c r="L1377" s="35"/>
      <c r="M1377" s="35"/>
      <c r="N1377" s="35"/>
      <c r="O1377" s="35"/>
      <c r="P1377" s="35"/>
      <c r="Q1377" s="35"/>
      <c r="R1377" s="35"/>
    </row>
    <row r="1378" spans="6:18" ht="9.9499999999999993" customHeight="1">
      <c r="F1378" s="35"/>
      <c r="G1378" s="35"/>
      <c r="H1378" s="35"/>
      <c r="I1378" s="35"/>
      <c r="J1378" s="35"/>
      <c r="K1378" s="35"/>
      <c r="L1378" s="35"/>
      <c r="M1378" s="35"/>
      <c r="N1378" s="35"/>
      <c r="O1378" s="35"/>
      <c r="P1378" s="35"/>
      <c r="Q1378" s="35"/>
      <c r="R1378" s="35"/>
    </row>
    <row r="1379" spans="6:18" ht="9.9499999999999993" customHeight="1">
      <c r="F1379" s="35"/>
      <c r="G1379" s="35"/>
      <c r="H1379" s="35"/>
      <c r="I1379" s="35"/>
      <c r="J1379" s="35"/>
      <c r="K1379" s="35"/>
      <c r="L1379" s="35"/>
      <c r="M1379" s="35"/>
      <c r="N1379" s="35"/>
      <c r="O1379" s="35"/>
      <c r="P1379" s="35"/>
      <c r="Q1379" s="35"/>
      <c r="R1379" s="35"/>
    </row>
    <row r="1380" spans="6:18" ht="9.9499999999999993" customHeight="1">
      <c r="F1380" s="35"/>
      <c r="G1380" s="35"/>
      <c r="H1380" s="35"/>
      <c r="I1380" s="35"/>
      <c r="J1380" s="35"/>
      <c r="K1380" s="35"/>
      <c r="L1380" s="35"/>
      <c r="M1380" s="35"/>
      <c r="N1380" s="35"/>
      <c r="O1380" s="35"/>
      <c r="P1380" s="35"/>
      <c r="Q1380" s="35"/>
      <c r="R1380" s="35"/>
    </row>
    <row r="1381" spans="6:18" ht="9.9499999999999993" customHeight="1">
      <c r="F1381" s="35"/>
      <c r="G1381" s="35"/>
      <c r="H1381" s="35"/>
      <c r="I1381" s="35"/>
      <c r="J1381" s="35"/>
      <c r="K1381" s="35"/>
      <c r="L1381" s="35"/>
      <c r="M1381" s="35"/>
      <c r="N1381" s="35"/>
      <c r="O1381" s="35"/>
      <c r="P1381" s="35"/>
      <c r="Q1381" s="35"/>
      <c r="R1381" s="35"/>
    </row>
    <row r="1382" spans="6:18" ht="9.9499999999999993" customHeight="1">
      <c r="F1382" s="35"/>
      <c r="G1382" s="35"/>
      <c r="H1382" s="35"/>
      <c r="I1382" s="35"/>
      <c r="J1382" s="35"/>
      <c r="K1382" s="35"/>
      <c r="L1382" s="35"/>
      <c r="M1382" s="35"/>
      <c r="N1382" s="35"/>
      <c r="O1382" s="35"/>
      <c r="P1382" s="35"/>
      <c r="Q1382" s="35"/>
      <c r="R1382" s="35"/>
    </row>
    <row r="1383" spans="6:18" ht="9.9499999999999993" customHeight="1">
      <c r="F1383" s="35"/>
      <c r="G1383" s="35"/>
      <c r="H1383" s="35"/>
      <c r="I1383" s="35"/>
      <c r="J1383" s="35"/>
      <c r="K1383" s="35"/>
      <c r="L1383" s="35"/>
      <c r="M1383" s="35"/>
      <c r="N1383" s="35"/>
      <c r="O1383" s="35"/>
      <c r="P1383" s="35"/>
      <c r="Q1383" s="35"/>
      <c r="R1383" s="35"/>
    </row>
    <row r="1384" spans="6:18" ht="9.9499999999999993" customHeight="1">
      <c r="F1384" s="35"/>
      <c r="G1384" s="35"/>
      <c r="H1384" s="35"/>
      <c r="I1384" s="35"/>
      <c r="J1384" s="35"/>
      <c r="K1384" s="35"/>
      <c r="L1384" s="35"/>
      <c r="M1384" s="35"/>
      <c r="N1384" s="35"/>
      <c r="O1384" s="35"/>
      <c r="P1384" s="35"/>
      <c r="Q1384" s="35"/>
      <c r="R1384" s="35"/>
    </row>
    <row r="1385" spans="6:18" ht="9.9499999999999993" customHeight="1">
      <c r="F1385" s="35"/>
      <c r="G1385" s="35"/>
      <c r="H1385" s="35"/>
      <c r="I1385" s="35"/>
      <c r="J1385" s="35"/>
      <c r="K1385" s="35"/>
      <c r="L1385" s="35"/>
      <c r="M1385" s="35"/>
      <c r="N1385" s="35"/>
      <c r="O1385" s="35"/>
      <c r="P1385" s="35"/>
      <c r="Q1385" s="35"/>
      <c r="R1385" s="35"/>
    </row>
    <row r="1386" spans="6:18" ht="9.9499999999999993" customHeight="1">
      <c r="F1386" s="35"/>
      <c r="G1386" s="35"/>
      <c r="H1386" s="35"/>
      <c r="I1386" s="35"/>
      <c r="J1386" s="35"/>
      <c r="K1386" s="35"/>
      <c r="L1386" s="35"/>
      <c r="M1386" s="35"/>
      <c r="N1386" s="35"/>
      <c r="O1386" s="35"/>
      <c r="P1386" s="35"/>
      <c r="Q1386" s="35"/>
      <c r="R1386" s="35"/>
    </row>
    <row r="1387" spans="6:18" ht="9.9499999999999993" customHeight="1">
      <c r="F1387" s="35"/>
      <c r="G1387" s="35"/>
      <c r="H1387" s="35"/>
      <c r="I1387" s="35"/>
      <c r="J1387" s="35"/>
      <c r="K1387" s="35"/>
      <c r="L1387" s="35"/>
      <c r="M1387" s="35"/>
      <c r="N1387" s="35"/>
      <c r="O1387" s="35"/>
      <c r="P1387" s="35"/>
      <c r="Q1387" s="35"/>
      <c r="R1387" s="35"/>
    </row>
    <row r="1388" spans="6:18" ht="9.9499999999999993" customHeight="1">
      <c r="F1388" s="35"/>
      <c r="G1388" s="35"/>
      <c r="H1388" s="35"/>
      <c r="I1388" s="35"/>
      <c r="J1388" s="35"/>
      <c r="K1388" s="35"/>
      <c r="L1388" s="35"/>
      <c r="M1388" s="35"/>
      <c r="N1388" s="35"/>
      <c r="O1388" s="35"/>
      <c r="P1388" s="35"/>
      <c r="Q1388" s="35"/>
      <c r="R1388" s="35"/>
    </row>
    <row r="1389" spans="6:18" ht="9.9499999999999993" customHeight="1">
      <c r="F1389" s="35"/>
      <c r="G1389" s="35"/>
      <c r="H1389" s="35"/>
      <c r="I1389" s="35"/>
      <c r="J1389" s="35"/>
      <c r="K1389" s="35"/>
      <c r="L1389" s="35"/>
      <c r="M1389" s="35"/>
      <c r="N1389" s="35"/>
      <c r="O1389" s="35"/>
      <c r="P1389" s="35"/>
      <c r="Q1389" s="35"/>
      <c r="R1389" s="35"/>
    </row>
    <row r="1390" spans="6:18" ht="9.9499999999999993" customHeight="1">
      <c r="F1390" s="35"/>
      <c r="G1390" s="35"/>
      <c r="H1390" s="35"/>
      <c r="I1390" s="35"/>
      <c r="J1390" s="35"/>
      <c r="K1390" s="35"/>
      <c r="L1390" s="35"/>
      <c r="M1390" s="35"/>
      <c r="N1390" s="35"/>
      <c r="O1390" s="35"/>
      <c r="P1390" s="35"/>
      <c r="Q1390" s="35"/>
      <c r="R1390" s="35"/>
    </row>
    <row r="1391" spans="6:18" ht="9.9499999999999993" customHeight="1">
      <c r="F1391" s="35"/>
      <c r="G1391" s="35"/>
      <c r="H1391" s="35"/>
      <c r="I1391" s="35"/>
      <c r="J1391" s="35"/>
      <c r="K1391" s="35"/>
      <c r="L1391" s="35"/>
      <c r="M1391" s="35"/>
      <c r="N1391" s="35"/>
      <c r="O1391" s="35"/>
      <c r="P1391" s="35"/>
      <c r="Q1391" s="35"/>
      <c r="R1391" s="35"/>
    </row>
    <row r="1392" spans="6:18" ht="9.9499999999999993" customHeight="1">
      <c r="F1392" s="35"/>
      <c r="G1392" s="35"/>
      <c r="H1392" s="35"/>
      <c r="I1392" s="35"/>
      <c r="J1392" s="35"/>
      <c r="K1392" s="35"/>
      <c r="L1392" s="35"/>
      <c r="M1392" s="35"/>
      <c r="N1392" s="35"/>
      <c r="O1392" s="35"/>
      <c r="P1392" s="35"/>
      <c r="Q1392" s="35"/>
      <c r="R1392" s="35"/>
    </row>
    <row r="1393" spans="6:18" ht="9.9499999999999993" customHeight="1">
      <c r="F1393" s="35"/>
      <c r="G1393" s="35"/>
      <c r="H1393" s="35"/>
      <c r="I1393" s="35"/>
      <c r="J1393" s="35"/>
      <c r="K1393" s="35"/>
      <c r="L1393" s="35"/>
      <c r="M1393" s="35"/>
      <c r="N1393" s="35"/>
      <c r="O1393" s="35"/>
      <c r="P1393" s="35"/>
      <c r="Q1393" s="35"/>
      <c r="R1393" s="35"/>
    </row>
    <row r="1394" spans="6:18" ht="9.9499999999999993" customHeight="1">
      <c r="F1394" s="35"/>
      <c r="G1394" s="35"/>
      <c r="H1394" s="35"/>
      <c r="I1394" s="35"/>
      <c r="J1394" s="35"/>
      <c r="K1394" s="35"/>
      <c r="L1394" s="35"/>
      <c r="M1394" s="35"/>
      <c r="N1394" s="35"/>
      <c r="O1394" s="35"/>
      <c r="P1394" s="35"/>
      <c r="Q1394" s="35"/>
      <c r="R1394" s="35"/>
    </row>
    <row r="1395" spans="6:18" ht="9.9499999999999993" customHeight="1">
      <c r="F1395" s="35"/>
      <c r="G1395" s="35"/>
      <c r="H1395" s="35"/>
      <c r="I1395" s="35"/>
      <c r="J1395" s="35"/>
      <c r="K1395" s="35"/>
      <c r="L1395" s="35"/>
      <c r="M1395" s="35"/>
      <c r="N1395" s="35"/>
      <c r="O1395" s="35"/>
      <c r="P1395" s="35"/>
      <c r="Q1395" s="35"/>
      <c r="R1395" s="35"/>
    </row>
    <row r="1396" spans="6:18" ht="9.9499999999999993" customHeight="1">
      <c r="F1396" s="35"/>
      <c r="G1396" s="35"/>
      <c r="H1396" s="35"/>
      <c r="I1396" s="35"/>
      <c r="J1396" s="35"/>
      <c r="K1396" s="35"/>
      <c r="L1396" s="35"/>
      <c r="M1396" s="35"/>
      <c r="N1396" s="35"/>
      <c r="O1396" s="35"/>
      <c r="P1396" s="35"/>
      <c r="Q1396" s="35"/>
      <c r="R1396" s="35"/>
    </row>
    <row r="1397" spans="6:18" ht="9.9499999999999993" customHeight="1">
      <c r="F1397" s="35"/>
      <c r="G1397" s="35"/>
      <c r="H1397" s="35"/>
      <c r="I1397" s="35"/>
      <c r="J1397" s="35"/>
      <c r="K1397" s="35"/>
      <c r="L1397" s="35"/>
      <c r="M1397" s="35"/>
      <c r="N1397" s="35"/>
      <c r="O1397" s="35"/>
      <c r="P1397" s="35"/>
      <c r="Q1397" s="35"/>
      <c r="R1397" s="35"/>
    </row>
    <row r="1398" spans="6:18" ht="9.9499999999999993" customHeight="1">
      <c r="F1398" s="35"/>
      <c r="G1398" s="35"/>
      <c r="H1398" s="35"/>
      <c r="I1398" s="35"/>
      <c r="J1398" s="35"/>
      <c r="K1398" s="35"/>
      <c r="L1398" s="35"/>
      <c r="M1398" s="35"/>
      <c r="N1398" s="35"/>
      <c r="O1398" s="35"/>
      <c r="P1398" s="35"/>
      <c r="Q1398" s="35"/>
      <c r="R1398" s="35"/>
    </row>
    <row r="1399" spans="6:18" ht="9.9499999999999993" customHeight="1">
      <c r="F1399" s="35"/>
      <c r="G1399" s="35"/>
      <c r="H1399" s="35"/>
      <c r="I1399" s="35"/>
      <c r="J1399" s="35"/>
      <c r="K1399" s="35"/>
      <c r="L1399" s="35"/>
      <c r="M1399" s="35"/>
      <c r="N1399" s="35"/>
      <c r="O1399" s="35"/>
      <c r="P1399" s="35"/>
      <c r="Q1399" s="35"/>
      <c r="R1399" s="35"/>
    </row>
    <row r="1400" spans="6:18" ht="9.9499999999999993" customHeight="1">
      <c r="F1400" s="35"/>
      <c r="G1400" s="35"/>
      <c r="H1400" s="35"/>
      <c r="I1400" s="35"/>
      <c r="J1400" s="35"/>
      <c r="K1400" s="35"/>
      <c r="L1400" s="35"/>
      <c r="M1400" s="35"/>
      <c r="N1400" s="35"/>
      <c r="O1400" s="35"/>
      <c r="P1400" s="35"/>
      <c r="Q1400" s="35"/>
      <c r="R1400" s="35"/>
    </row>
    <row r="1401" spans="6:18" ht="9.9499999999999993" customHeight="1">
      <c r="F1401" s="35"/>
      <c r="G1401" s="35"/>
      <c r="H1401" s="35"/>
      <c r="I1401" s="35"/>
      <c r="J1401" s="35"/>
      <c r="K1401" s="35"/>
      <c r="L1401" s="35"/>
      <c r="M1401" s="35"/>
      <c r="N1401" s="35"/>
      <c r="O1401" s="35"/>
      <c r="P1401" s="35"/>
      <c r="Q1401" s="35"/>
      <c r="R1401" s="35"/>
    </row>
    <row r="1402" spans="6:18" ht="9.9499999999999993" customHeight="1">
      <c r="F1402" s="35"/>
      <c r="G1402" s="35"/>
      <c r="H1402" s="35"/>
      <c r="I1402" s="35"/>
      <c r="J1402" s="35"/>
      <c r="K1402" s="35"/>
      <c r="L1402" s="35"/>
      <c r="M1402" s="35"/>
      <c r="N1402" s="35"/>
      <c r="O1402" s="35"/>
      <c r="P1402" s="35"/>
      <c r="Q1402" s="35"/>
      <c r="R1402" s="35"/>
    </row>
    <row r="1403" spans="6:18" ht="9.9499999999999993" customHeight="1">
      <c r="F1403" s="35"/>
      <c r="G1403" s="35"/>
      <c r="H1403" s="35"/>
      <c r="I1403" s="35"/>
      <c r="J1403" s="35"/>
      <c r="K1403" s="35"/>
      <c r="L1403" s="35"/>
      <c r="M1403" s="35"/>
      <c r="N1403" s="35"/>
      <c r="O1403" s="35"/>
      <c r="P1403" s="35"/>
      <c r="Q1403" s="35"/>
      <c r="R1403" s="35"/>
    </row>
    <row r="1404" spans="6:18" ht="9.9499999999999993" customHeight="1">
      <c r="F1404" s="35"/>
      <c r="G1404" s="35"/>
      <c r="H1404" s="35"/>
      <c r="I1404" s="35"/>
      <c r="J1404" s="35"/>
      <c r="K1404" s="35"/>
      <c r="L1404" s="35"/>
      <c r="M1404" s="35"/>
      <c r="N1404" s="35"/>
      <c r="O1404" s="35"/>
      <c r="P1404" s="35"/>
      <c r="Q1404" s="35"/>
      <c r="R1404" s="35"/>
    </row>
    <row r="1405" spans="6:18" ht="9.9499999999999993" customHeight="1">
      <c r="F1405" s="35"/>
      <c r="G1405" s="35"/>
      <c r="H1405" s="35"/>
      <c r="I1405" s="35"/>
      <c r="J1405" s="35"/>
      <c r="K1405" s="35"/>
      <c r="L1405" s="35"/>
      <c r="M1405" s="35"/>
      <c r="N1405" s="35"/>
      <c r="O1405" s="35"/>
      <c r="P1405" s="35"/>
      <c r="Q1405" s="35"/>
      <c r="R1405" s="35"/>
    </row>
    <row r="1406" spans="6:18" ht="9.9499999999999993" customHeight="1">
      <c r="F1406" s="35"/>
      <c r="G1406" s="35"/>
      <c r="H1406" s="35"/>
      <c r="I1406" s="35"/>
      <c r="J1406" s="35"/>
      <c r="K1406" s="35"/>
      <c r="L1406" s="35"/>
      <c r="M1406" s="35"/>
      <c r="N1406" s="35"/>
      <c r="O1406" s="35"/>
      <c r="P1406" s="35"/>
      <c r="Q1406" s="35"/>
      <c r="R1406" s="35"/>
    </row>
    <row r="1407" spans="6:18" ht="9.9499999999999993" customHeight="1">
      <c r="F1407" s="35"/>
      <c r="G1407" s="35"/>
      <c r="H1407" s="35"/>
      <c r="I1407" s="35"/>
      <c r="J1407" s="35"/>
      <c r="K1407" s="35"/>
      <c r="L1407" s="35"/>
      <c r="M1407" s="35"/>
      <c r="N1407" s="35"/>
      <c r="O1407" s="35"/>
      <c r="P1407" s="35"/>
      <c r="Q1407" s="35"/>
      <c r="R1407" s="35"/>
    </row>
    <row r="1408" spans="6:18" ht="9.9499999999999993" customHeight="1">
      <c r="F1408" s="35"/>
      <c r="G1408" s="35"/>
      <c r="H1408" s="35"/>
      <c r="I1408" s="35"/>
      <c r="J1408" s="35"/>
      <c r="K1408" s="35"/>
      <c r="L1408" s="35"/>
      <c r="M1408" s="35"/>
      <c r="N1408" s="35"/>
      <c r="O1408" s="35"/>
      <c r="P1408" s="35"/>
      <c r="Q1408" s="35"/>
      <c r="R1408" s="35"/>
    </row>
    <row r="1409" spans="6:18" ht="9.9499999999999993" customHeight="1">
      <c r="F1409" s="35"/>
      <c r="G1409" s="35"/>
      <c r="H1409" s="35"/>
      <c r="I1409" s="35"/>
      <c r="J1409" s="35"/>
      <c r="K1409" s="35"/>
      <c r="L1409" s="35"/>
      <c r="M1409" s="35"/>
      <c r="N1409" s="35"/>
      <c r="O1409" s="35"/>
      <c r="P1409" s="35"/>
      <c r="Q1409" s="35"/>
      <c r="R1409" s="35"/>
    </row>
    <row r="1410" spans="6:18" ht="9.9499999999999993" customHeight="1">
      <c r="F1410" s="35"/>
      <c r="G1410" s="35"/>
      <c r="H1410" s="35"/>
      <c r="I1410" s="35"/>
      <c r="J1410" s="35"/>
      <c r="K1410" s="35"/>
      <c r="L1410" s="35"/>
      <c r="M1410" s="35"/>
      <c r="N1410" s="35"/>
      <c r="O1410" s="35"/>
      <c r="P1410" s="35"/>
      <c r="Q1410" s="35"/>
      <c r="R1410" s="35"/>
    </row>
    <row r="1411" spans="6:18" ht="9.9499999999999993" customHeight="1">
      <c r="F1411" s="35"/>
      <c r="G1411" s="35"/>
      <c r="H1411" s="35"/>
      <c r="I1411" s="35"/>
      <c r="J1411" s="35"/>
      <c r="K1411" s="35"/>
      <c r="L1411" s="35"/>
      <c r="M1411" s="35"/>
      <c r="N1411" s="35"/>
      <c r="O1411" s="35"/>
      <c r="P1411" s="35"/>
      <c r="Q1411" s="35"/>
      <c r="R1411" s="35"/>
    </row>
    <row r="1412" spans="6:18" ht="9.9499999999999993" customHeight="1">
      <c r="F1412" s="35"/>
      <c r="G1412" s="35"/>
      <c r="H1412" s="35"/>
      <c r="I1412" s="35"/>
      <c r="J1412" s="35"/>
      <c r="K1412" s="35"/>
      <c r="L1412" s="35"/>
      <c r="M1412" s="35"/>
      <c r="N1412" s="35"/>
      <c r="O1412" s="35"/>
      <c r="P1412" s="35"/>
      <c r="Q1412" s="35"/>
      <c r="R1412" s="35"/>
    </row>
    <row r="1413" spans="6:18" ht="9.9499999999999993" customHeight="1">
      <c r="F1413" s="35"/>
      <c r="G1413" s="35"/>
      <c r="H1413" s="35"/>
      <c r="I1413" s="35"/>
      <c r="J1413" s="35"/>
      <c r="K1413" s="35"/>
      <c r="L1413" s="35"/>
      <c r="M1413" s="35"/>
      <c r="N1413" s="35"/>
      <c r="O1413" s="35"/>
      <c r="P1413" s="35"/>
      <c r="Q1413" s="35"/>
      <c r="R1413" s="35"/>
    </row>
    <row r="1414" spans="6:18" ht="9.9499999999999993" customHeight="1">
      <c r="F1414" s="35"/>
      <c r="G1414" s="35"/>
      <c r="H1414" s="35"/>
      <c r="I1414" s="35"/>
      <c r="J1414" s="35"/>
      <c r="K1414" s="35"/>
      <c r="L1414" s="35"/>
      <c r="M1414" s="35"/>
      <c r="N1414" s="35"/>
      <c r="O1414" s="35"/>
      <c r="P1414" s="35"/>
      <c r="Q1414" s="35"/>
      <c r="R1414" s="35"/>
    </row>
    <row r="1415" spans="6:18" ht="9.9499999999999993" customHeight="1">
      <c r="F1415" s="35"/>
      <c r="G1415" s="35"/>
      <c r="H1415" s="35"/>
      <c r="I1415" s="35"/>
      <c r="J1415" s="35"/>
      <c r="K1415" s="35"/>
      <c r="L1415" s="35"/>
      <c r="M1415" s="35"/>
      <c r="N1415" s="35"/>
      <c r="O1415" s="35"/>
      <c r="P1415" s="35"/>
      <c r="Q1415" s="35"/>
      <c r="R1415" s="35"/>
    </row>
    <row r="1416" spans="6:18" ht="9.9499999999999993" customHeight="1">
      <c r="F1416" s="35"/>
      <c r="G1416" s="35"/>
      <c r="H1416" s="35"/>
      <c r="I1416" s="35"/>
      <c r="J1416" s="35"/>
      <c r="K1416" s="35"/>
      <c r="L1416" s="35"/>
      <c r="M1416" s="35"/>
      <c r="N1416" s="35"/>
      <c r="O1416" s="35"/>
      <c r="P1416" s="35"/>
      <c r="Q1416" s="35"/>
      <c r="R1416" s="35"/>
    </row>
    <row r="1417" spans="6:18" ht="9.9499999999999993" customHeight="1">
      <c r="F1417" s="35"/>
      <c r="G1417" s="35"/>
      <c r="H1417" s="35"/>
      <c r="I1417" s="35"/>
      <c r="J1417" s="35"/>
      <c r="K1417" s="35"/>
      <c r="L1417" s="35"/>
      <c r="M1417" s="35"/>
      <c r="N1417" s="35"/>
      <c r="O1417" s="35"/>
      <c r="P1417" s="35"/>
      <c r="Q1417" s="35"/>
      <c r="R1417" s="35"/>
    </row>
    <row r="1418" spans="6:18" ht="9.9499999999999993" customHeight="1">
      <c r="F1418" s="35"/>
      <c r="G1418" s="35"/>
      <c r="H1418" s="35"/>
      <c r="I1418" s="35"/>
      <c r="J1418" s="35"/>
      <c r="K1418" s="35"/>
      <c r="L1418" s="35"/>
      <c r="M1418" s="35"/>
      <c r="N1418" s="35"/>
      <c r="O1418" s="35"/>
      <c r="P1418" s="35"/>
      <c r="Q1418" s="35"/>
      <c r="R1418" s="35"/>
    </row>
    <row r="1419" spans="6:18" ht="9.9499999999999993" customHeight="1">
      <c r="F1419" s="35"/>
      <c r="G1419" s="35"/>
      <c r="H1419" s="35"/>
      <c r="I1419" s="35"/>
      <c r="J1419" s="35"/>
      <c r="K1419" s="35"/>
      <c r="L1419" s="35"/>
      <c r="M1419" s="35"/>
      <c r="N1419" s="35"/>
      <c r="O1419" s="35"/>
      <c r="P1419" s="35"/>
      <c r="Q1419" s="35"/>
      <c r="R1419" s="35"/>
    </row>
    <row r="1420" spans="6:18" ht="9.9499999999999993" customHeight="1">
      <c r="F1420" s="35"/>
      <c r="G1420" s="35"/>
      <c r="H1420" s="35"/>
      <c r="I1420" s="35"/>
      <c r="J1420" s="35"/>
      <c r="K1420" s="35"/>
      <c r="L1420" s="35"/>
      <c r="M1420" s="35"/>
      <c r="N1420" s="35"/>
      <c r="O1420" s="35"/>
      <c r="P1420" s="35"/>
      <c r="Q1420" s="35"/>
      <c r="R1420" s="35"/>
    </row>
    <row r="1421" spans="6:18" ht="9.9499999999999993" customHeight="1">
      <c r="F1421" s="35"/>
      <c r="G1421" s="35"/>
      <c r="H1421" s="35"/>
      <c r="I1421" s="35"/>
      <c r="J1421" s="35"/>
      <c r="K1421" s="35"/>
      <c r="L1421" s="35"/>
      <c r="M1421" s="35"/>
      <c r="N1421" s="35"/>
      <c r="O1421" s="35"/>
      <c r="P1421" s="35"/>
      <c r="Q1421" s="35"/>
      <c r="R1421" s="35"/>
    </row>
    <row r="1422" spans="6:18" ht="9.9499999999999993" customHeight="1">
      <c r="F1422" s="35"/>
      <c r="G1422" s="35"/>
      <c r="H1422" s="35"/>
      <c r="I1422" s="35"/>
      <c r="J1422" s="35"/>
      <c r="K1422" s="35"/>
      <c r="L1422" s="35"/>
      <c r="M1422" s="35"/>
      <c r="N1422" s="35"/>
      <c r="O1422" s="35"/>
      <c r="P1422" s="35"/>
      <c r="Q1422" s="35"/>
      <c r="R1422" s="35"/>
    </row>
    <row r="1423" spans="6:18" ht="9.9499999999999993" customHeight="1">
      <c r="F1423" s="35"/>
      <c r="G1423" s="35"/>
      <c r="H1423" s="35"/>
      <c r="I1423" s="35"/>
      <c r="J1423" s="35"/>
      <c r="K1423" s="35"/>
      <c r="L1423" s="35"/>
      <c r="M1423" s="35"/>
      <c r="N1423" s="35"/>
      <c r="O1423" s="35"/>
      <c r="P1423" s="35"/>
      <c r="Q1423" s="35"/>
      <c r="R1423" s="35"/>
    </row>
    <row r="1424" spans="6:18" ht="9.9499999999999993" customHeight="1">
      <c r="F1424" s="35"/>
      <c r="G1424" s="35"/>
      <c r="H1424" s="35"/>
      <c r="I1424" s="35"/>
      <c r="J1424" s="35"/>
      <c r="K1424" s="35"/>
      <c r="L1424" s="35"/>
      <c r="M1424" s="35"/>
      <c r="N1424" s="35"/>
      <c r="O1424" s="35"/>
      <c r="P1424" s="35"/>
      <c r="Q1424" s="35"/>
      <c r="R1424" s="35"/>
    </row>
    <row r="1425" spans="6:18" ht="9.9499999999999993" customHeight="1">
      <c r="F1425" s="35"/>
      <c r="G1425" s="35"/>
      <c r="H1425" s="35"/>
      <c r="I1425" s="35"/>
      <c r="J1425" s="35"/>
      <c r="K1425" s="35"/>
      <c r="L1425" s="35"/>
      <c r="M1425" s="35"/>
      <c r="N1425" s="35"/>
      <c r="O1425" s="35"/>
      <c r="P1425" s="35"/>
      <c r="Q1425" s="35"/>
      <c r="R1425" s="35"/>
    </row>
    <row r="1426" spans="6:18" ht="9.9499999999999993" customHeight="1">
      <c r="F1426" s="35"/>
      <c r="G1426" s="35"/>
      <c r="H1426" s="35"/>
      <c r="I1426" s="35"/>
      <c r="J1426" s="35"/>
      <c r="K1426" s="35"/>
      <c r="L1426" s="35"/>
      <c r="M1426" s="35"/>
      <c r="N1426" s="35"/>
      <c r="O1426" s="35"/>
      <c r="P1426" s="35"/>
      <c r="Q1426" s="35"/>
      <c r="R1426" s="35"/>
    </row>
    <row r="1427" spans="6:18" ht="9.9499999999999993" customHeight="1">
      <c r="F1427" s="35"/>
      <c r="G1427" s="35"/>
      <c r="H1427" s="35"/>
      <c r="I1427" s="35"/>
      <c r="J1427" s="35"/>
      <c r="K1427" s="35"/>
      <c r="L1427" s="35"/>
      <c r="M1427" s="35"/>
      <c r="N1427" s="35"/>
      <c r="O1427" s="35"/>
      <c r="P1427" s="35"/>
      <c r="Q1427" s="35"/>
      <c r="R1427" s="35"/>
    </row>
    <row r="1428" spans="6:18" ht="9.9499999999999993" customHeight="1">
      <c r="F1428" s="35"/>
      <c r="G1428" s="35"/>
      <c r="H1428" s="35"/>
      <c r="I1428" s="35"/>
      <c r="J1428" s="35"/>
      <c r="K1428" s="35"/>
      <c r="L1428" s="35"/>
      <c r="M1428" s="35"/>
      <c r="N1428" s="35"/>
      <c r="O1428" s="35"/>
      <c r="P1428" s="35"/>
      <c r="Q1428" s="35"/>
      <c r="R1428" s="35"/>
    </row>
    <row r="1429" spans="6:18" ht="9.9499999999999993" customHeight="1">
      <c r="F1429" s="35"/>
      <c r="G1429" s="35"/>
      <c r="H1429" s="35"/>
      <c r="I1429" s="35"/>
      <c r="J1429" s="35"/>
      <c r="K1429" s="35"/>
      <c r="L1429" s="35"/>
      <c r="M1429" s="35"/>
      <c r="N1429" s="35"/>
      <c r="O1429" s="35"/>
      <c r="P1429" s="35"/>
      <c r="Q1429" s="35"/>
      <c r="R1429" s="35"/>
    </row>
    <row r="1430" spans="6:18" ht="9.9499999999999993" customHeight="1">
      <c r="F1430" s="35"/>
      <c r="G1430" s="35"/>
      <c r="H1430" s="35"/>
      <c r="I1430" s="35"/>
      <c r="J1430" s="35"/>
      <c r="K1430" s="35"/>
      <c r="L1430" s="35"/>
      <c r="M1430" s="35"/>
      <c r="N1430" s="35"/>
      <c r="O1430" s="35"/>
      <c r="P1430" s="35"/>
      <c r="Q1430" s="35"/>
      <c r="R1430" s="35"/>
    </row>
    <row r="1431" spans="6:18" ht="9.9499999999999993" customHeight="1">
      <c r="F1431" s="35"/>
      <c r="G1431" s="35"/>
      <c r="H1431" s="35"/>
      <c r="I1431" s="35"/>
      <c r="J1431" s="35"/>
      <c r="K1431" s="35"/>
      <c r="L1431" s="35"/>
      <c r="M1431" s="35"/>
      <c r="N1431" s="35"/>
      <c r="O1431" s="35"/>
      <c r="P1431" s="35"/>
      <c r="Q1431" s="35"/>
      <c r="R1431" s="35"/>
    </row>
    <row r="1432" spans="6:18" ht="9.9499999999999993" customHeight="1">
      <c r="F1432" s="35"/>
      <c r="G1432" s="35"/>
      <c r="H1432" s="35"/>
      <c r="I1432" s="35"/>
      <c r="J1432" s="35"/>
      <c r="K1432" s="35"/>
      <c r="L1432" s="35"/>
      <c r="M1432" s="35"/>
      <c r="N1432" s="35"/>
      <c r="O1432" s="35"/>
      <c r="P1432" s="35"/>
      <c r="Q1432" s="35"/>
      <c r="R1432" s="35"/>
    </row>
    <row r="1433" spans="6:18" ht="9.9499999999999993" customHeight="1">
      <c r="F1433" s="35"/>
      <c r="G1433" s="35"/>
      <c r="H1433" s="35"/>
      <c r="I1433" s="35"/>
      <c r="J1433" s="35"/>
      <c r="K1433" s="35"/>
      <c r="L1433" s="35"/>
      <c r="M1433" s="35"/>
      <c r="N1433" s="35"/>
      <c r="O1433" s="35"/>
      <c r="P1433" s="35"/>
      <c r="Q1433" s="35"/>
      <c r="R1433" s="35"/>
    </row>
    <row r="1434" spans="6:18" ht="9.9499999999999993" customHeight="1">
      <c r="F1434" s="35"/>
      <c r="G1434" s="35"/>
      <c r="H1434" s="35"/>
      <c r="I1434" s="35"/>
      <c r="J1434" s="35"/>
      <c r="K1434" s="35"/>
      <c r="L1434" s="35"/>
      <c r="M1434" s="35"/>
      <c r="N1434" s="35"/>
      <c r="O1434" s="35"/>
      <c r="P1434" s="35"/>
      <c r="Q1434" s="35"/>
      <c r="R1434" s="35"/>
    </row>
    <row r="1435" spans="6:18" ht="9.9499999999999993" customHeight="1">
      <c r="F1435" s="35"/>
      <c r="G1435" s="35"/>
      <c r="H1435" s="35"/>
      <c r="I1435" s="35"/>
      <c r="J1435" s="35"/>
      <c r="K1435" s="35"/>
      <c r="L1435" s="35"/>
      <c r="M1435" s="35"/>
      <c r="N1435" s="35"/>
      <c r="O1435" s="35"/>
      <c r="P1435" s="35"/>
      <c r="Q1435" s="35"/>
      <c r="R1435" s="35"/>
    </row>
    <row r="1436" spans="6:18" ht="9.9499999999999993" customHeight="1">
      <c r="F1436" s="35"/>
      <c r="G1436" s="35"/>
      <c r="H1436" s="35"/>
      <c r="I1436" s="35"/>
      <c r="J1436" s="35"/>
      <c r="K1436" s="35"/>
      <c r="L1436" s="35"/>
      <c r="M1436" s="35"/>
      <c r="N1436" s="35"/>
      <c r="O1436" s="35"/>
      <c r="P1436" s="35"/>
      <c r="Q1436" s="35"/>
      <c r="R1436" s="35"/>
    </row>
    <row r="1437" spans="6:18" ht="9.9499999999999993" customHeight="1">
      <c r="F1437" s="35"/>
      <c r="G1437" s="35"/>
      <c r="H1437" s="35"/>
      <c r="I1437" s="35"/>
      <c r="J1437" s="35"/>
      <c r="K1437" s="35"/>
      <c r="L1437" s="35"/>
      <c r="M1437" s="35"/>
      <c r="N1437" s="35"/>
      <c r="O1437" s="35"/>
      <c r="P1437" s="35"/>
      <c r="Q1437" s="35"/>
      <c r="R1437" s="35"/>
    </row>
    <row r="1438" spans="6:18" ht="9.9499999999999993" customHeight="1">
      <c r="F1438" s="35"/>
      <c r="G1438" s="35"/>
      <c r="H1438" s="35"/>
      <c r="I1438" s="35"/>
      <c r="J1438" s="35"/>
      <c r="K1438" s="35"/>
      <c r="L1438" s="35"/>
      <c r="M1438" s="35"/>
      <c r="N1438" s="35"/>
      <c r="O1438" s="35"/>
      <c r="P1438" s="35"/>
      <c r="Q1438" s="35"/>
      <c r="R1438" s="35"/>
    </row>
    <row r="1439" spans="6:18" ht="9.9499999999999993" customHeight="1">
      <c r="F1439" s="35"/>
      <c r="G1439" s="35"/>
      <c r="H1439" s="35"/>
      <c r="I1439" s="35"/>
      <c r="J1439" s="35"/>
      <c r="K1439" s="35"/>
      <c r="L1439" s="35"/>
      <c r="M1439" s="35"/>
      <c r="N1439" s="35"/>
      <c r="O1439" s="35"/>
      <c r="P1439" s="35"/>
      <c r="Q1439" s="35"/>
      <c r="R1439" s="35"/>
    </row>
    <row r="1440" spans="6:18" ht="9.9499999999999993" customHeight="1">
      <c r="F1440" s="35"/>
      <c r="G1440" s="35"/>
      <c r="H1440" s="35"/>
      <c r="I1440" s="35"/>
      <c r="J1440" s="35"/>
      <c r="K1440" s="35"/>
      <c r="L1440" s="35"/>
      <c r="M1440" s="35"/>
      <c r="N1440" s="35"/>
      <c r="O1440" s="35"/>
      <c r="P1440" s="35"/>
      <c r="Q1440" s="35"/>
      <c r="R1440" s="35"/>
    </row>
    <row r="1441" spans="6:18" ht="9.9499999999999993" customHeight="1">
      <c r="F1441" s="35"/>
      <c r="G1441" s="35"/>
      <c r="H1441" s="35"/>
      <c r="I1441" s="35"/>
      <c r="J1441" s="35"/>
      <c r="K1441" s="35"/>
      <c r="L1441" s="35"/>
      <c r="M1441" s="35"/>
      <c r="N1441" s="35"/>
      <c r="O1441" s="35"/>
      <c r="P1441" s="35"/>
      <c r="Q1441" s="35"/>
      <c r="R1441" s="35"/>
    </row>
    <row r="1442" spans="6:18" ht="9.9499999999999993" customHeight="1">
      <c r="F1442" s="35"/>
      <c r="G1442" s="35"/>
      <c r="H1442" s="35"/>
      <c r="I1442" s="35"/>
      <c r="J1442" s="35"/>
      <c r="K1442" s="35"/>
      <c r="L1442" s="35"/>
      <c r="M1442" s="35"/>
      <c r="N1442" s="35"/>
      <c r="O1442" s="35"/>
      <c r="P1442" s="35"/>
      <c r="Q1442" s="35"/>
      <c r="R1442" s="35"/>
    </row>
    <row r="1443" spans="6:18" ht="9.9499999999999993" customHeight="1">
      <c r="F1443" s="35"/>
      <c r="G1443" s="35"/>
      <c r="H1443" s="35"/>
      <c r="I1443" s="35"/>
      <c r="J1443" s="35"/>
      <c r="K1443" s="35"/>
      <c r="L1443" s="35"/>
      <c r="M1443" s="35"/>
      <c r="N1443" s="35"/>
      <c r="O1443" s="35"/>
      <c r="P1443" s="35"/>
      <c r="Q1443" s="35"/>
      <c r="R1443" s="35"/>
    </row>
    <row r="1444" spans="6:18" ht="9.9499999999999993" customHeight="1">
      <c r="F1444" s="35"/>
      <c r="G1444" s="35"/>
      <c r="H1444" s="35"/>
      <c r="I1444" s="35"/>
      <c r="J1444" s="35"/>
      <c r="K1444" s="35"/>
      <c r="L1444" s="35"/>
      <c r="M1444" s="35"/>
      <c r="N1444" s="35"/>
      <c r="O1444" s="35"/>
      <c r="P1444" s="35"/>
      <c r="Q1444" s="35"/>
      <c r="R1444" s="35"/>
    </row>
    <row r="1445" spans="6:18" ht="9.9499999999999993" customHeight="1">
      <c r="F1445" s="35"/>
      <c r="G1445" s="35"/>
      <c r="H1445" s="35"/>
      <c r="I1445" s="35"/>
      <c r="J1445" s="35"/>
      <c r="K1445" s="35"/>
      <c r="L1445" s="35"/>
      <c r="M1445" s="35"/>
      <c r="N1445" s="35"/>
      <c r="O1445" s="35"/>
      <c r="P1445" s="35"/>
      <c r="Q1445" s="35"/>
      <c r="R1445" s="35"/>
    </row>
    <row r="1446" spans="6:18" ht="9.9499999999999993" customHeight="1">
      <c r="F1446" s="35"/>
      <c r="G1446" s="35"/>
      <c r="H1446" s="35"/>
      <c r="I1446" s="35"/>
      <c r="J1446" s="35"/>
      <c r="K1446" s="35"/>
      <c r="L1446" s="35"/>
      <c r="M1446" s="35"/>
      <c r="N1446" s="35"/>
      <c r="O1446" s="35"/>
      <c r="P1446" s="35"/>
      <c r="Q1446" s="35"/>
      <c r="R1446" s="35"/>
    </row>
    <row r="1447" spans="6:18" ht="9.9499999999999993" customHeight="1">
      <c r="F1447" s="35"/>
      <c r="G1447" s="35"/>
      <c r="H1447" s="35"/>
      <c r="I1447" s="35"/>
      <c r="J1447" s="35"/>
      <c r="K1447" s="35"/>
      <c r="L1447" s="35"/>
      <c r="M1447" s="35"/>
      <c r="N1447" s="35"/>
      <c r="O1447" s="35"/>
      <c r="P1447" s="35"/>
      <c r="Q1447" s="35"/>
      <c r="R1447" s="35"/>
    </row>
    <row r="1448" spans="6:18" ht="9.9499999999999993" customHeight="1">
      <c r="F1448" s="35"/>
      <c r="G1448" s="35"/>
      <c r="H1448" s="35"/>
      <c r="I1448" s="35"/>
      <c r="J1448" s="35"/>
      <c r="K1448" s="35"/>
      <c r="L1448" s="35"/>
      <c r="M1448" s="35"/>
      <c r="N1448" s="35"/>
      <c r="O1448" s="35"/>
      <c r="P1448" s="35"/>
      <c r="Q1448" s="35"/>
      <c r="R1448" s="35"/>
    </row>
    <row r="1449" spans="6:18" ht="9.9499999999999993" customHeight="1">
      <c r="F1449" s="35"/>
      <c r="G1449" s="35"/>
      <c r="H1449" s="35"/>
      <c r="I1449" s="35"/>
      <c r="J1449" s="35"/>
      <c r="K1449" s="35"/>
      <c r="L1449" s="35"/>
      <c r="M1449" s="35"/>
      <c r="N1449" s="35"/>
      <c r="O1449" s="35"/>
      <c r="P1449" s="35"/>
      <c r="Q1449" s="35"/>
      <c r="R1449" s="35"/>
    </row>
    <row r="1450" spans="6:18" ht="9.9499999999999993" customHeight="1">
      <c r="F1450" s="35"/>
      <c r="G1450" s="35"/>
      <c r="H1450" s="35"/>
      <c r="I1450" s="35"/>
      <c r="J1450" s="35"/>
      <c r="K1450" s="35"/>
      <c r="L1450" s="35"/>
      <c r="M1450" s="35"/>
      <c r="N1450" s="35"/>
      <c r="O1450" s="35"/>
      <c r="P1450" s="35"/>
      <c r="Q1450" s="35"/>
      <c r="R1450" s="35"/>
    </row>
    <row r="1451" spans="6:18" ht="9.9499999999999993" customHeight="1">
      <c r="F1451" s="35"/>
      <c r="G1451" s="35"/>
      <c r="H1451" s="35"/>
      <c r="I1451" s="35"/>
      <c r="J1451" s="35"/>
      <c r="K1451" s="35"/>
      <c r="L1451" s="35"/>
      <c r="M1451" s="35"/>
      <c r="N1451" s="35"/>
      <c r="O1451" s="35"/>
      <c r="P1451" s="35"/>
      <c r="Q1451" s="35"/>
      <c r="R1451" s="35"/>
    </row>
    <row r="1452" spans="6:18" ht="9.9499999999999993" customHeight="1">
      <c r="F1452" s="35"/>
      <c r="G1452" s="35"/>
      <c r="H1452" s="35"/>
      <c r="I1452" s="35"/>
      <c r="J1452" s="35"/>
      <c r="K1452" s="35"/>
      <c r="L1452" s="35"/>
      <c r="M1452" s="35"/>
      <c r="N1452" s="35"/>
      <c r="O1452" s="35"/>
      <c r="P1452" s="35"/>
      <c r="Q1452" s="35"/>
      <c r="R1452" s="35"/>
    </row>
    <row r="1453" spans="6:18" ht="9.9499999999999993" customHeight="1">
      <c r="F1453" s="35"/>
      <c r="G1453" s="35"/>
      <c r="H1453" s="35"/>
      <c r="I1453" s="35"/>
      <c r="J1453" s="35"/>
      <c r="K1453" s="35"/>
      <c r="L1453" s="35"/>
      <c r="M1453" s="35"/>
      <c r="N1453" s="35"/>
      <c r="O1453" s="35"/>
      <c r="P1453" s="35"/>
      <c r="Q1453" s="35"/>
      <c r="R1453" s="35"/>
    </row>
    <row r="1454" spans="6:18" ht="9.9499999999999993" customHeight="1">
      <c r="F1454" s="35"/>
      <c r="G1454" s="35"/>
      <c r="H1454" s="35"/>
      <c r="I1454" s="35"/>
      <c r="J1454" s="35"/>
      <c r="K1454" s="35"/>
      <c r="L1454" s="35"/>
      <c r="M1454" s="35"/>
      <c r="N1454" s="35"/>
      <c r="O1454" s="35"/>
      <c r="P1454" s="35"/>
      <c r="Q1454" s="35"/>
      <c r="R1454" s="35"/>
    </row>
    <row r="1455" spans="6:18" ht="9.9499999999999993" customHeight="1">
      <c r="F1455" s="35"/>
      <c r="G1455" s="35"/>
      <c r="H1455" s="35"/>
      <c r="I1455" s="35"/>
      <c r="J1455" s="35"/>
      <c r="K1455" s="35"/>
      <c r="L1455" s="35"/>
      <c r="M1455" s="35"/>
      <c r="N1455" s="35"/>
      <c r="O1455" s="35"/>
      <c r="P1455" s="35"/>
      <c r="Q1455" s="35"/>
      <c r="R1455" s="35"/>
    </row>
    <row r="1456" spans="6:18" ht="9.9499999999999993" customHeight="1">
      <c r="F1456" s="35"/>
      <c r="G1456" s="35"/>
      <c r="H1456" s="35"/>
      <c r="I1456" s="35"/>
      <c r="J1456" s="35"/>
      <c r="K1456" s="35"/>
      <c r="L1456" s="35"/>
      <c r="M1456" s="35"/>
      <c r="N1456" s="35"/>
      <c r="O1456" s="35"/>
      <c r="P1456" s="35"/>
      <c r="Q1456" s="35"/>
      <c r="R1456" s="35"/>
    </row>
    <row r="1457" spans="6:18" ht="9.9499999999999993" customHeight="1">
      <c r="F1457" s="35"/>
      <c r="G1457" s="35"/>
      <c r="H1457" s="35"/>
      <c r="I1457" s="35"/>
      <c r="J1457" s="35"/>
      <c r="K1457" s="35"/>
      <c r="L1457" s="35"/>
      <c r="M1457" s="35"/>
      <c r="N1457" s="35"/>
      <c r="O1457" s="35"/>
      <c r="P1457" s="35"/>
      <c r="Q1457" s="35"/>
      <c r="R1457" s="35"/>
    </row>
    <row r="1458" spans="6:18" ht="9.9499999999999993" customHeight="1">
      <c r="F1458" s="35"/>
      <c r="G1458" s="35"/>
      <c r="H1458" s="35"/>
      <c r="I1458" s="35"/>
      <c r="J1458" s="35"/>
      <c r="K1458" s="35"/>
      <c r="L1458" s="35"/>
      <c r="M1458" s="35"/>
      <c r="N1458" s="35"/>
      <c r="O1458" s="35"/>
      <c r="P1458" s="35"/>
      <c r="Q1458" s="35"/>
      <c r="R1458" s="35"/>
    </row>
    <row r="1459" spans="6:18" ht="9.9499999999999993" customHeight="1">
      <c r="F1459" s="35"/>
      <c r="G1459" s="35"/>
      <c r="H1459" s="35"/>
      <c r="I1459" s="35"/>
      <c r="J1459" s="35"/>
      <c r="K1459" s="35"/>
      <c r="L1459" s="35"/>
      <c r="M1459" s="35"/>
      <c r="N1459" s="35"/>
      <c r="O1459" s="35"/>
      <c r="P1459" s="35"/>
      <c r="Q1459" s="35"/>
      <c r="R1459" s="35"/>
    </row>
    <row r="1460" spans="6:18" ht="9.9499999999999993" customHeight="1">
      <c r="F1460" s="35"/>
      <c r="G1460" s="35"/>
      <c r="H1460" s="35"/>
      <c r="I1460" s="35"/>
      <c r="J1460" s="35"/>
      <c r="K1460" s="35"/>
      <c r="L1460" s="35"/>
      <c r="M1460" s="35"/>
      <c r="N1460" s="35"/>
      <c r="O1460" s="35"/>
      <c r="P1460" s="35"/>
      <c r="Q1460" s="35"/>
      <c r="R1460" s="35"/>
    </row>
    <row r="1461" spans="6:18" ht="9.9499999999999993" customHeight="1">
      <c r="F1461" s="35"/>
      <c r="G1461" s="35"/>
      <c r="H1461" s="35"/>
      <c r="I1461" s="35"/>
      <c r="J1461" s="35"/>
      <c r="K1461" s="35"/>
      <c r="L1461" s="35"/>
      <c r="M1461" s="35"/>
      <c r="N1461" s="35"/>
      <c r="O1461" s="35"/>
      <c r="P1461" s="35"/>
      <c r="Q1461" s="35"/>
      <c r="R1461" s="35"/>
    </row>
    <row r="1462" spans="6:18" ht="9.9499999999999993" customHeight="1">
      <c r="F1462" s="35"/>
      <c r="G1462" s="35"/>
      <c r="H1462" s="35"/>
      <c r="I1462" s="35"/>
      <c r="J1462" s="35"/>
      <c r="K1462" s="35"/>
      <c r="L1462" s="35"/>
      <c r="M1462" s="35"/>
      <c r="N1462" s="35"/>
      <c r="O1462" s="35"/>
      <c r="P1462" s="35"/>
      <c r="Q1462" s="35"/>
      <c r="R1462" s="35"/>
    </row>
    <row r="1463" spans="6:18" ht="9.9499999999999993" customHeight="1">
      <c r="F1463" s="35"/>
      <c r="G1463" s="35"/>
      <c r="H1463" s="35"/>
      <c r="I1463" s="35"/>
      <c r="J1463" s="35"/>
      <c r="K1463" s="35"/>
      <c r="L1463" s="35"/>
      <c r="M1463" s="35"/>
      <c r="N1463" s="35"/>
      <c r="O1463" s="35"/>
      <c r="P1463" s="35"/>
      <c r="Q1463" s="35"/>
      <c r="R1463" s="35"/>
    </row>
    <row r="1464" spans="6:18" ht="9.9499999999999993" customHeight="1">
      <c r="F1464" s="35"/>
      <c r="G1464" s="35"/>
      <c r="H1464" s="35"/>
      <c r="I1464" s="35"/>
      <c r="J1464" s="35"/>
      <c r="K1464" s="35"/>
      <c r="L1464" s="35"/>
      <c r="M1464" s="35"/>
      <c r="N1464" s="35"/>
      <c r="O1464" s="35"/>
      <c r="P1464" s="35"/>
      <c r="Q1464" s="35"/>
      <c r="R1464" s="35"/>
    </row>
    <row r="1465" spans="6:18" ht="9.9499999999999993" customHeight="1">
      <c r="F1465" s="35"/>
      <c r="G1465" s="35"/>
      <c r="H1465" s="35"/>
      <c r="I1465" s="35"/>
      <c r="J1465" s="35"/>
      <c r="K1465" s="35"/>
      <c r="L1465" s="35"/>
      <c r="M1465" s="35"/>
      <c r="N1465" s="35"/>
      <c r="O1465" s="35"/>
      <c r="P1465" s="35"/>
      <c r="Q1465" s="35"/>
      <c r="R1465" s="35"/>
    </row>
    <row r="1466" spans="6:18" ht="9.9499999999999993" customHeight="1">
      <c r="F1466" s="35"/>
      <c r="G1466" s="35"/>
      <c r="H1466" s="35"/>
      <c r="I1466" s="35"/>
      <c r="J1466" s="35"/>
      <c r="K1466" s="35"/>
      <c r="L1466" s="35"/>
      <c r="M1466" s="35"/>
      <c r="N1466" s="35"/>
      <c r="O1466" s="35"/>
      <c r="P1466" s="35"/>
      <c r="Q1466" s="35"/>
      <c r="R1466" s="35"/>
    </row>
    <row r="1467" spans="6:18" ht="9.9499999999999993" customHeight="1">
      <c r="F1467" s="35"/>
      <c r="G1467" s="35"/>
      <c r="H1467" s="35"/>
      <c r="I1467" s="35"/>
      <c r="J1467" s="35"/>
      <c r="K1467" s="35"/>
      <c r="L1467" s="35"/>
      <c r="M1467" s="35"/>
      <c r="N1467" s="35"/>
      <c r="O1467" s="35"/>
      <c r="P1467" s="35"/>
      <c r="Q1467" s="35"/>
      <c r="R1467" s="35"/>
    </row>
    <row r="1468" spans="6:18" ht="9.9499999999999993" customHeight="1">
      <c r="F1468" s="35"/>
      <c r="G1468" s="35"/>
      <c r="H1468" s="35"/>
      <c r="I1468" s="35"/>
      <c r="J1468" s="35"/>
      <c r="K1468" s="35"/>
      <c r="L1468" s="35"/>
      <c r="M1468" s="35"/>
      <c r="N1468" s="35"/>
      <c r="O1468" s="35"/>
      <c r="P1468" s="35"/>
      <c r="Q1468" s="35"/>
      <c r="R1468" s="35"/>
    </row>
    <row r="1469" spans="6:18" ht="9.9499999999999993" customHeight="1">
      <c r="F1469" s="35"/>
      <c r="G1469" s="35"/>
      <c r="H1469" s="35"/>
      <c r="I1469" s="35"/>
      <c r="J1469" s="35"/>
      <c r="K1469" s="35"/>
      <c r="L1469" s="35"/>
      <c r="M1469" s="35"/>
      <c r="N1469" s="35"/>
      <c r="O1469" s="35"/>
      <c r="P1469" s="35"/>
      <c r="Q1469" s="35"/>
      <c r="R1469" s="35"/>
    </row>
    <row r="1470" spans="6:18" ht="9.9499999999999993" customHeight="1">
      <c r="F1470" s="35"/>
      <c r="G1470" s="35"/>
      <c r="H1470" s="35"/>
      <c r="I1470" s="35"/>
      <c r="J1470" s="35"/>
      <c r="K1470" s="35"/>
      <c r="L1470" s="35"/>
      <c r="M1470" s="35"/>
      <c r="N1470" s="35"/>
      <c r="O1470" s="35"/>
      <c r="P1470" s="35"/>
      <c r="Q1470" s="35"/>
      <c r="R1470" s="35"/>
    </row>
    <row r="1471" spans="6:18" ht="9.9499999999999993" customHeight="1">
      <c r="F1471" s="35"/>
      <c r="G1471" s="35"/>
      <c r="H1471" s="35"/>
      <c r="I1471" s="35"/>
      <c r="J1471" s="35"/>
      <c r="K1471" s="35"/>
      <c r="L1471" s="35"/>
      <c r="M1471" s="35"/>
      <c r="N1471" s="35"/>
      <c r="O1471" s="35"/>
      <c r="P1471" s="35"/>
      <c r="Q1471" s="35"/>
      <c r="R1471" s="35"/>
    </row>
    <row r="1472" spans="6:18" ht="9.9499999999999993" customHeight="1">
      <c r="F1472" s="35"/>
      <c r="G1472" s="35"/>
      <c r="H1472" s="35"/>
      <c r="I1472" s="35"/>
      <c r="J1472" s="35"/>
      <c r="K1472" s="35"/>
      <c r="L1472" s="35"/>
      <c r="M1472" s="35"/>
      <c r="N1472" s="35"/>
      <c r="O1472" s="35"/>
      <c r="P1472" s="35"/>
      <c r="Q1472" s="35"/>
      <c r="R1472" s="35"/>
    </row>
    <row r="1473" spans="6:18" ht="9.9499999999999993" customHeight="1">
      <c r="F1473" s="35"/>
      <c r="G1473" s="35"/>
      <c r="H1473" s="35"/>
      <c r="I1473" s="35"/>
      <c r="J1473" s="35"/>
      <c r="K1473" s="35"/>
      <c r="L1473" s="35"/>
      <c r="M1473" s="35"/>
      <c r="N1473" s="35"/>
      <c r="O1473" s="35"/>
      <c r="P1473" s="35"/>
      <c r="Q1473" s="35"/>
      <c r="R1473" s="35"/>
    </row>
    <row r="1474" spans="6:18" ht="9.9499999999999993" customHeight="1">
      <c r="F1474" s="35"/>
      <c r="G1474" s="35"/>
      <c r="H1474" s="35"/>
      <c r="I1474" s="35"/>
      <c r="J1474" s="35"/>
      <c r="K1474" s="35"/>
      <c r="L1474" s="35"/>
      <c r="M1474" s="35"/>
      <c r="N1474" s="35"/>
      <c r="O1474" s="35"/>
      <c r="P1474" s="35"/>
      <c r="Q1474" s="35"/>
      <c r="R1474" s="35"/>
    </row>
    <row r="1475" spans="6:18" ht="9.9499999999999993" customHeight="1">
      <c r="F1475" s="35"/>
      <c r="G1475" s="35"/>
      <c r="H1475" s="35"/>
      <c r="I1475" s="35"/>
      <c r="J1475" s="35"/>
      <c r="K1475" s="35"/>
      <c r="L1475" s="35"/>
      <c r="M1475" s="35"/>
      <c r="N1475" s="35"/>
      <c r="O1475" s="35"/>
      <c r="P1475" s="35"/>
      <c r="Q1475" s="35"/>
      <c r="R1475" s="35"/>
    </row>
    <row r="1476" spans="6:18" ht="9.9499999999999993" customHeight="1">
      <c r="F1476" s="35"/>
      <c r="G1476" s="35"/>
      <c r="H1476" s="35"/>
      <c r="I1476" s="35"/>
      <c r="J1476" s="35"/>
      <c r="K1476" s="35"/>
      <c r="L1476" s="35"/>
      <c r="M1476" s="35"/>
      <c r="N1476" s="35"/>
      <c r="O1476" s="35"/>
      <c r="P1476" s="35"/>
      <c r="Q1476" s="35"/>
      <c r="R1476" s="35"/>
    </row>
    <row r="1477" spans="6:18" ht="9.9499999999999993" customHeight="1">
      <c r="F1477" s="35"/>
      <c r="G1477" s="35"/>
      <c r="H1477" s="35"/>
      <c r="I1477" s="35"/>
      <c r="J1477" s="35"/>
      <c r="K1477" s="35"/>
      <c r="L1477" s="35"/>
      <c r="M1477" s="35"/>
      <c r="N1477" s="35"/>
      <c r="O1477" s="35"/>
      <c r="P1477" s="35"/>
      <c r="Q1477" s="35"/>
      <c r="R1477" s="35"/>
    </row>
    <row r="1478" spans="6:18" ht="9.9499999999999993" customHeight="1">
      <c r="F1478" s="35"/>
      <c r="G1478" s="35"/>
      <c r="H1478" s="35"/>
      <c r="I1478" s="35"/>
      <c r="J1478" s="35"/>
      <c r="K1478" s="35"/>
      <c r="L1478" s="35"/>
      <c r="M1478" s="35"/>
      <c r="N1478" s="35"/>
      <c r="O1478" s="35"/>
      <c r="P1478" s="35"/>
      <c r="Q1478" s="35"/>
      <c r="R1478" s="35"/>
    </row>
    <row r="1479" spans="6:18" ht="9.9499999999999993" customHeight="1">
      <c r="F1479" s="35"/>
      <c r="G1479" s="35"/>
      <c r="H1479" s="35"/>
      <c r="I1479" s="35"/>
      <c r="J1479" s="35"/>
      <c r="K1479" s="35"/>
      <c r="L1479" s="35"/>
      <c r="M1479" s="35"/>
      <c r="N1479" s="35"/>
      <c r="O1479" s="35"/>
      <c r="P1479" s="35"/>
      <c r="Q1479" s="35"/>
      <c r="R1479" s="35"/>
    </row>
    <row r="1480" spans="6:18" ht="9.9499999999999993" customHeight="1">
      <c r="F1480" s="35"/>
      <c r="G1480" s="35"/>
      <c r="H1480" s="35"/>
      <c r="I1480" s="35"/>
      <c r="J1480" s="35"/>
      <c r="K1480" s="35"/>
      <c r="L1480" s="35"/>
      <c r="M1480" s="35"/>
      <c r="N1480" s="35"/>
      <c r="O1480" s="35"/>
      <c r="P1480" s="35"/>
      <c r="Q1480" s="35"/>
      <c r="R1480" s="35"/>
    </row>
    <row r="1481" spans="6:18" ht="9.9499999999999993" customHeight="1">
      <c r="F1481" s="35"/>
      <c r="G1481" s="35"/>
      <c r="H1481" s="35"/>
      <c r="I1481" s="35"/>
      <c r="J1481" s="35"/>
      <c r="K1481" s="35"/>
      <c r="L1481" s="35"/>
      <c r="M1481" s="35"/>
      <c r="N1481" s="35"/>
      <c r="O1481" s="35"/>
      <c r="P1481" s="35"/>
      <c r="Q1481" s="35"/>
      <c r="R1481" s="35"/>
    </row>
    <row r="1482" spans="6:18" ht="9.9499999999999993" customHeight="1">
      <c r="F1482" s="35"/>
      <c r="G1482" s="35"/>
      <c r="H1482" s="35"/>
      <c r="I1482" s="35"/>
      <c r="J1482" s="35"/>
      <c r="K1482" s="35"/>
      <c r="L1482" s="35"/>
      <c r="M1482" s="35"/>
      <c r="N1482" s="35"/>
      <c r="O1482" s="35"/>
      <c r="P1482" s="35"/>
      <c r="Q1482" s="35"/>
      <c r="R1482" s="35"/>
    </row>
    <row r="1483" spans="6:18" ht="9.9499999999999993" customHeight="1">
      <c r="F1483" s="35"/>
      <c r="G1483" s="35"/>
      <c r="H1483" s="35"/>
      <c r="I1483" s="35"/>
      <c r="J1483" s="35"/>
      <c r="K1483" s="35"/>
      <c r="L1483" s="35"/>
      <c r="M1483" s="35"/>
      <c r="N1483" s="35"/>
      <c r="O1483" s="35"/>
      <c r="P1483" s="35"/>
      <c r="Q1483" s="35"/>
      <c r="R1483" s="35"/>
    </row>
    <row r="1484" spans="6:18" ht="9.9499999999999993" customHeight="1">
      <c r="F1484" s="35"/>
      <c r="G1484" s="35"/>
      <c r="H1484" s="35"/>
      <c r="I1484" s="35"/>
      <c r="J1484" s="35"/>
      <c r="K1484" s="35"/>
      <c r="L1484" s="35"/>
      <c r="M1484" s="35"/>
      <c r="N1484" s="35"/>
      <c r="O1484" s="35"/>
      <c r="P1484" s="35"/>
      <c r="Q1484" s="35"/>
      <c r="R1484" s="35"/>
    </row>
    <row r="1485" spans="6:18" ht="9.9499999999999993" customHeight="1">
      <c r="F1485" s="35"/>
      <c r="G1485" s="35"/>
      <c r="H1485" s="35"/>
      <c r="I1485" s="35"/>
      <c r="J1485" s="35"/>
      <c r="K1485" s="35"/>
      <c r="L1485" s="35"/>
      <c r="M1485" s="35"/>
      <c r="N1485" s="35"/>
      <c r="O1485" s="35"/>
      <c r="P1485" s="35"/>
      <c r="Q1485" s="35"/>
      <c r="R1485" s="35"/>
    </row>
    <row r="1486" spans="6:18" ht="9.9499999999999993" customHeight="1">
      <c r="F1486" s="35"/>
      <c r="G1486" s="35"/>
      <c r="H1486" s="35"/>
      <c r="I1486" s="35"/>
      <c r="J1486" s="35"/>
      <c r="K1486" s="35"/>
      <c r="L1486" s="35"/>
      <c r="M1486" s="35"/>
      <c r="N1486" s="35"/>
      <c r="O1486" s="35"/>
      <c r="P1486" s="35"/>
      <c r="Q1486" s="35"/>
      <c r="R1486" s="35"/>
    </row>
    <row r="1487" spans="6:18" ht="9.9499999999999993" customHeight="1">
      <c r="F1487" s="35"/>
      <c r="G1487" s="35"/>
      <c r="H1487" s="35"/>
      <c r="I1487" s="35"/>
      <c r="J1487" s="35"/>
      <c r="K1487" s="35"/>
      <c r="L1487" s="35"/>
      <c r="M1487" s="35"/>
      <c r="N1487" s="35"/>
      <c r="O1487" s="35"/>
      <c r="P1487" s="35"/>
      <c r="Q1487" s="35"/>
      <c r="R1487" s="35"/>
    </row>
    <row r="1488" spans="6:18" ht="9.9499999999999993" customHeight="1">
      <c r="F1488" s="35"/>
      <c r="G1488" s="35"/>
      <c r="H1488" s="35"/>
      <c r="I1488" s="35"/>
      <c r="J1488" s="35"/>
      <c r="K1488" s="35"/>
      <c r="L1488" s="35"/>
      <c r="M1488" s="35"/>
      <c r="N1488" s="35"/>
      <c r="O1488" s="35"/>
      <c r="P1488" s="35"/>
      <c r="Q1488" s="35"/>
      <c r="R1488" s="35"/>
    </row>
    <row r="1489" spans="6:18" ht="9.9499999999999993" customHeight="1">
      <c r="F1489" s="35"/>
      <c r="G1489" s="35"/>
      <c r="H1489" s="35"/>
      <c r="I1489" s="35"/>
      <c r="J1489" s="35"/>
      <c r="K1489" s="35"/>
      <c r="L1489" s="35"/>
      <c r="M1489" s="35"/>
      <c r="N1489" s="35"/>
      <c r="O1489" s="35"/>
      <c r="P1489" s="35"/>
      <c r="Q1489" s="35"/>
      <c r="R1489" s="35"/>
    </row>
    <row r="1490" spans="6:18" ht="9.9499999999999993" customHeight="1">
      <c r="F1490" s="35"/>
      <c r="G1490" s="35"/>
      <c r="H1490" s="35"/>
      <c r="I1490" s="35"/>
      <c r="J1490" s="35"/>
      <c r="K1490" s="35"/>
      <c r="L1490" s="35"/>
      <c r="M1490" s="35"/>
      <c r="N1490" s="35"/>
      <c r="O1490" s="35"/>
      <c r="P1490" s="35"/>
      <c r="Q1490" s="35"/>
      <c r="R1490" s="35"/>
    </row>
    <row r="1491" spans="6:18" ht="9.9499999999999993" customHeight="1">
      <c r="F1491" s="35"/>
      <c r="G1491" s="35"/>
      <c r="H1491" s="35"/>
      <c r="I1491" s="35"/>
      <c r="J1491" s="35"/>
      <c r="K1491" s="35"/>
      <c r="L1491" s="35"/>
      <c r="M1491" s="35"/>
      <c r="N1491" s="35"/>
      <c r="O1491" s="35"/>
      <c r="P1491" s="35"/>
      <c r="Q1491" s="35"/>
      <c r="R1491" s="35"/>
    </row>
    <row r="1492" spans="6:18" ht="9.9499999999999993" customHeight="1">
      <c r="F1492" s="35"/>
      <c r="G1492" s="35"/>
      <c r="H1492" s="35"/>
      <c r="I1492" s="35"/>
      <c r="J1492" s="35"/>
      <c r="K1492" s="35"/>
      <c r="L1492" s="35"/>
      <c r="M1492" s="35"/>
      <c r="N1492" s="35"/>
      <c r="O1492" s="35"/>
      <c r="P1492" s="35"/>
      <c r="Q1492" s="35"/>
      <c r="R1492" s="35"/>
    </row>
    <row r="1493" spans="6:18" ht="9.9499999999999993" customHeight="1">
      <c r="F1493" s="35"/>
      <c r="G1493" s="35"/>
      <c r="H1493" s="35"/>
      <c r="I1493" s="35"/>
      <c r="J1493" s="35"/>
      <c r="K1493" s="35"/>
      <c r="L1493" s="35"/>
      <c r="M1493" s="35"/>
      <c r="N1493" s="35"/>
      <c r="O1493" s="35"/>
      <c r="P1493" s="35"/>
      <c r="Q1493" s="35"/>
      <c r="R1493" s="35"/>
    </row>
    <row r="1494" spans="6:18" ht="9.9499999999999993" customHeight="1">
      <c r="F1494" s="35"/>
      <c r="G1494" s="35"/>
      <c r="H1494" s="35"/>
      <c r="I1494" s="35"/>
      <c r="J1494" s="35"/>
      <c r="K1494" s="35"/>
      <c r="L1494" s="35"/>
      <c r="M1494" s="35"/>
      <c r="N1494" s="35"/>
      <c r="O1494" s="35"/>
      <c r="P1494" s="35"/>
      <c r="Q1494" s="35"/>
      <c r="R1494" s="35"/>
    </row>
    <row r="1495" spans="6:18" ht="9.9499999999999993" customHeight="1">
      <c r="F1495" s="35"/>
      <c r="G1495" s="35"/>
      <c r="H1495" s="35"/>
      <c r="I1495" s="35"/>
      <c r="J1495" s="35"/>
      <c r="K1495" s="35"/>
      <c r="L1495" s="35"/>
      <c r="M1495" s="35"/>
      <c r="N1495" s="35"/>
      <c r="O1495" s="35"/>
      <c r="P1495" s="35"/>
      <c r="Q1495" s="35"/>
      <c r="R1495" s="35"/>
    </row>
    <row r="1496" spans="6:18" ht="9.9499999999999993" customHeight="1">
      <c r="F1496" s="35"/>
      <c r="G1496" s="35"/>
      <c r="H1496" s="35"/>
      <c r="I1496" s="35"/>
      <c r="J1496" s="35"/>
      <c r="K1496" s="35"/>
      <c r="L1496" s="35"/>
      <c r="M1496" s="35"/>
      <c r="N1496" s="35"/>
      <c r="O1496" s="35"/>
      <c r="P1496" s="35"/>
      <c r="Q1496" s="35"/>
      <c r="R1496" s="35"/>
    </row>
    <row r="1497" spans="6:18" ht="9.9499999999999993" customHeight="1">
      <c r="F1497" s="35"/>
      <c r="G1497" s="35"/>
      <c r="H1497" s="35"/>
      <c r="I1497" s="35"/>
      <c r="J1497" s="35"/>
      <c r="K1497" s="35"/>
      <c r="L1497" s="35"/>
      <c r="M1497" s="35"/>
      <c r="N1497" s="35"/>
      <c r="O1497" s="35"/>
      <c r="P1497" s="35"/>
      <c r="Q1497" s="35"/>
      <c r="R1497" s="35"/>
    </row>
    <row r="1498" spans="6:18" ht="9.9499999999999993" customHeight="1">
      <c r="F1498" s="35"/>
      <c r="G1498" s="35"/>
      <c r="H1498" s="35"/>
      <c r="I1498" s="35"/>
      <c r="J1498" s="35"/>
      <c r="K1498" s="35"/>
      <c r="L1498" s="35"/>
      <c r="M1498" s="35"/>
      <c r="N1498" s="35"/>
      <c r="O1498" s="35"/>
      <c r="P1498" s="35"/>
      <c r="Q1498" s="35"/>
      <c r="R1498" s="35"/>
    </row>
    <row r="1499" spans="6:18" ht="9.9499999999999993" customHeight="1">
      <c r="F1499" s="35"/>
      <c r="G1499" s="35"/>
      <c r="H1499" s="35"/>
      <c r="I1499" s="35"/>
      <c r="J1499" s="35"/>
      <c r="K1499" s="35"/>
      <c r="L1499" s="35"/>
      <c r="M1499" s="35"/>
      <c r="N1499" s="35"/>
      <c r="O1499" s="35"/>
      <c r="P1499" s="35"/>
      <c r="Q1499" s="35"/>
      <c r="R1499" s="35"/>
    </row>
    <row r="1500" spans="6:18" ht="9.9499999999999993" customHeight="1">
      <c r="F1500" s="35"/>
      <c r="G1500" s="35"/>
      <c r="H1500" s="35"/>
      <c r="I1500" s="35"/>
      <c r="J1500" s="35"/>
      <c r="K1500" s="35"/>
      <c r="L1500" s="35"/>
      <c r="M1500" s="35"/>
      <c r="N1500" s="35"/>
      <c r="O1500" s="35"/>
      <c r="P1500" s="35"/>
      <c r="Q1500" s="35"/>
      <c r="R1500" s="35"/>
    </row>
    <row r="1501" spans="6:18" ht="9.9499999999999993" customHeight="1">
      <c r="F1501" s="35"/>
      <c r="G1501" s="35"/>
      <c r="H1501" s="35"/>
      <c r="I1501" s="35"/>
      <c r="J1501" s="35"/>
      <c r="K1501" s="35"/>
      <c r="L1501" s="35"/>
      <c r="M1501" s="35"/>
      <c r="N1501" s="35"/>
      <c r="O1501" s="35"/>
      <c r="P1501" s="35"/>
      <c r="Q1501" s="35"/>
      <c r="R1501" s="35"/>
    </row>
    <row r="1502" spans="6:18" ht="9.9499999999999993" customHeight="1">
      <c r="F1502" s="35"/>
      <c r="G1502" s="35"/>
      <c r="H1502" s="35"/>
      <c r="I1502" s="35"/>
      <c r="J1502" s="35"/>
      <c r="K1502" s="35"/>
      <c r="L1502" s="35"/>
      <c r="M1502" s="35"/>
      <c r="N1502" s="35"/>
      <c r="O1502" s="35"/>
      <c r="P1502" s="35"/>
      <c r="Q1502" s="35"/>
      <c r="R1502" s="35"/>
    </row>
    <row r="1503" spans="6:18" ht="9.9499999999999993" customHeight="1">
      <c r="F1503" s="35"/>
      <c r="G1503" s="35"/>
      <c r="H1503" s="35"/>
      <c r="I1503" s="35"/>
      <c r="J1503" s="35"/>
      <c r="K1503" s="35"/>
      <c r="L1503" s="35"/>
      <c r="M1503" s="35"/>
      <c r="N1503" s="35"/>
      <c r="O1503" s="35"/>
      <c r="P1503" s="35"/>
      <c r="Q1503" s="35"/>
      <c r="R1503" s="35"/>
    </row>
    <row r="1504" spans="6:18" ht="9.9499999999999993" customHeight="1">
      <c r="F1504" s="35"/>
      <c r="G1504" s="35"/>
      <c r="H1504" s="35"/>
      <c r="I1504" s="35"/>
      <c r="J1504" s="35"/>
      <c r="K1504" s="35"/>
      <c r="L1504" s="35"/>
      <c r="M1504" s="35"/>
      <c r="N1504" s="35"/>
      <c r="O1504" s="35"/>
      <c r="P1504" s="35"/>
      <c r="Q1504" s="35"/>
      <c r="R1504" s="35"/>
    </row>
    <row r="1505" spans="6:18" ht="9.9499999999999993" customHeight="1">
      <c r="F1505" s="35"/>
      <c r="G1505" s="35"/>
      <c r="H1505" s="35"/>
      <c r="I1505" s="35"/>
      <c r="J1505" s="35"/>
      <c r="K1505" s="35"/>
      <c r="L1505" s="35"/>
      <c r="M1505" s="35"/>
      <c r="N1505" s="35"/>
      <c r="O1505" s="35"/>
      <c r="P1505" s="35"/>
      <c r="Q1505" s="35"/>
      <c r="R1505" s="35"/>
    </row>
    <row r="1506" spans="6:18" ht="9.9499999999999993" customHeight="1">
      <c r="F1506" s="35"/>
      <c r="G1506" s="35"/>
      <c r="H1506" s="35"/>
      <c r="I1506" s="35"/>
      <c r="J1506" s="35"/>
      <c r="K1506" s="35"/>
      <c r="L1506" s="35"/>
      <c r="M1506" s="35"/>
      <c r="N1506" s="35"/>
      <c r="O1506" s="35"/>
      <c r="P1506" s="35"/>
      <c r="Q1506" s="35"/>
      <c r="R1506" s="35"/>
    </row>
    <row r="1507" spans="6:18" ht="9.9499999999999993" customHeight="1">
      <c r="F1507" s="35"/>
      <c r="G1507" s="35"/>
      <c r="H1507" s="35"/>
      <c r="I1507" s="35"/>
      <c r="J1507" s="35"/>
      <c r="K1507" s="35"/>
      <c r="L1507" s="35"/>
      <c r="M1507" s="35"/>
      <c r="N1507" s="35"/>
      <c r="O1507" s="35"/>
      <c r="P1507" s="35"/>
      <c r="Q1507" s="35"/>
      <c r="R1507" s="35"/>
    </row>
    <row r="1508" spans="6:18" ht="9.9499999999999993" customHeight="1">
      <c r="F1508" s="35"/>
      <c r="G1508" s="35"/>
      <c r="H1508" s="35"/>
      <c r="I1508" s="35"/>
      <c r="J1508" s="35"/>
      <c r="K1508" s="35"/>
      <c r="L1508" s="35"/>
      <c r="M1508" s="35"/>
      <c r="N1508" s="35"/>
      <c r="O1508" s="35"/>
      <c r="P1508" s="35"/>
      <c r="Q1508" s="35"/>
      <c r="R1508" s="35"/>
    </row>
    <row r="1509" spans="6:18" ht="9.9499999999999993" customHeight="1">
      <c r="F1509" s="35"/>
      <c r="G1509" s="35"/>
      <c r="H1509" s="35"/>
      <c r="I1509" s="35"/>
      <c r="J1509" s="35"/>
      <c r="K1509" s="35"/>
      <c r="L1509" s="35"/>
      <c r="M1509" s="35"/>
      <c r="N1509" s="35"/>
      <c r="O1509" s="35"/>
      <c r="P1509" s="35"/>
      <c r="Q1509" s="35"/>
      <c r="R1509" s="35"/>
    </row>
    <row r="1510" spans="6:18" ht="9.9499999999999993" customHeight="1">
      <c r="F1510" s="35"/>
      <c r="G1510" s="35"/>
      <c r="H1510" s="35"/>
      <c r="I1510" s="35"/>
      <c r="J1510" s="35"/>
      <c r="K1510" s="35"/>
      <c r="L1510" s="35"/>
      <c r="M1510" s="35"/>
      <c r="N1510" s="35"/>
      <c r="O1510" s="35"/>
      <c r="P1510" s="35"/>
      <c r="Q1510" s="35"/>
      <c r="R1510" s="35"/>
    </row>
    <row r="1511" spans="6:18" ht="9.9499999999999993" customHeight="1">
      <c r="F1511" s="35"/>
      <c r="G1511" s="35"/>
      <c r="H1511" s="35"/>
      <c r="I1511" s="35"/>
      <c r="J1511" s="35"/>
      <c r="K1511" s="35"/>
      <c r="L1511" s="35"/>
      <c r="M1511" s="35"/>
      <c r="N1511" s="35"/>
      <c r="O1511" s="35"/>
      <c r="P1511" s="35"/>
      <c r="Q1511" s="35"/>
      <c r="R1511" s="35"/>
    </row>
    <row r="1512" spans="6:18" ht="9.9499999999999993" customHeight="1">
      <c r="F1512" s="35"/>
      <c r="G1512" s="35"/>
      <c r="H1512" s="35"/>
      <c r="I1512" s="35"/>
      <c r="J1512" s="35"/>
      <c r="K1512" s="35"/>
      <c r="L1512" s="35"/>
      <c r="M1512" s="35"/>
      <c r="N1512" s="35"/>
      <c r="O1512" s="35"/>
      <c r="P1512" s="35"/>
      <c r="Q1512" s="35"/>
      <c r="R1512" s="35"/>
    </row>
    <row r="1513" spans="6:18" ht="9.9499999999999993" customHeight="1">
      <c r="F1513" s="35"/>
      <c r="G1513" s="35"/>
      <c r="H1513" s="35"/>
      <c r="I1513" s="35"/>
      <c r="J1513" s="35"/>
      <c r="K1513" s="35"/>
      <c r="L1513" s="35"/>
      <c r="M1513" s="35"/>
      <c r="N1513" s="35"/>
      <c r="O1513" s="35"/>
      <c r="P1513" s="35"/>
      <c r="Q1513" s="35"/>
      <c r="R1513" s="35"/>
    </row>
    <row r="1514" spans="6:18" ht="9.9499999999999993" customHeight="1">
      <c r="F1514" s="35"/>
      <c r="G1514" s="35"/>
      <c r="H1514" s="35"/>
      <c r="I1514" s="35"/>
      <c r="J1514" s="35"/>
      <c r="K1514" s="35"/>
      <c r="L1514" s="35"/>
      <c r="M1514" s="35"/>
      <c r="N1514" s="35"/>
      <c r="O1514" s="35"/>
      <c r="P1514" s="35"/>
      <c r="Q1514" s="35"/>
      <c r="R1514" s="35"/>
    </row>
    <row r="1515" spans="6:18" ht="9.9499999999999993" customHeight="1">
      <c r="F1515" s="35"/>
      <c r="G1515" s="35"/>
      <c r="H1515" s="35"/>
      <c r="I1515" s="35"/>
      <c r="J1515" s="35"/>
      <c r="K1515" s="35"/>
      <c r="L1515" s="35"/>
      <c r="M1515" s="35"/>
      <c r="N1515" s="35"/>
      <c r="O1515" s="35"/>
      <c r="P1515" s="35"/>
      <c r="Q1515" s="35"/>
      <c r="R1515" s="35"/>
    </row>
    <row r="1516" spans="6:18" ht="9.9499999999999993" customHeight="1">
      <c r="F1516" s="35"/>
      <c r="G1516" s="35"/>
      <c r="H1516" s="35"/>
      <c r="I1516" s="35"/>
      <c r="J1516" s="35"/>
      <c r="K1516" s="35"/>
      <c r="L1516" s="35"/>
      <c r="M1516" s="35"/>
      <c r="N1516" s="35"/>
      <c r="O1516" s="35"/>
      <c r="P1516" s="35"/>
      <c r="Q1516" s="35"/>
      <c r="R1516" s="35"/>
    </row>
    <row r="1517" spans="6:18" ht="9.9499999999999993" customHeight="1">
      <c r="F1517" s="35"/>
      <c r="G1517" s="35"/>
      <c r="H1517" s="35"/>
      <c r="I1517" s="35"/>
      <c r="J1517" s="35"/>
      <c r="K1517" s="35"/>
      <c r="L1517" s="35"/>
      <c r="M1517" s="35"/>
      <c r="N1517" s="35"/>
      <c r="O1517" s="35"/>
      <c r="P1517" s="35"/>
      <c r="Q1517" s="35"/>
      <c r="R1517" s="35"/>
    </row>
    <row r="1518" spans="6:18" ht="9.9499999999999993" customHeight="1">
      <c r="F1518" s="35"/>
      <c r="G1518" s="35"/>
      <c r="H1518" s="35"/>
      <c r="I1518" s="35"/>
      <c r="J1518" s="35"/>
      <c r="K1518" s="35"/>
      <c r="L1518" s="35"/>
      <c r="M1518" s="35"/>
      <c r="N1518" s="35"/>
      <c r="O1518" s="35"/>
      <c r="P1518" s="35"/>
      <c r="Q1518" s="35"/>
      <c r="R1518" s="35"/>
    </row>
    <row r="1519" spans="6:18" ht="9.9499999999999993" customHeight="1">
      <c r="F1519" s="35"/>
      <c r="G1519" s="35"/>
      <c r="H1519" s="35"/>
      <c r="I1519" s="35"/>
      <c r="J1519" s="35"/>
      <c r="K1519" s="35"/>
      <c r="L1519" s="35"/>
      <c r="M1519" s="35"/>
      <c r="N1519" s="35"/>
      <c r="O1519" s="35"/>
      <c r="P1519" s="35"/>
      <c r="Q1519" s="35"/>
      <c r="R1519" s="35"/>
    </row>
    <row r="1520" spans="6:18" ht="9.9499999999999993" customHeight="1">
      <c r="F1520" s="35"/>
      <c r="G1520" s="35"/>
      <c r="H1520" s="35"/>
      <c r="I1520" s="35"/>
      <c r="J1520" s="35"/>
      <c r="K1520" s="35"/>
      <c r="L1520" s="35"/>
      <c r="M1520" s="35"/>
      <c r="N1520" s="35"/>
      <c r="O1520" s="35"/>
      <c r="P1520" s="35"/>
      <c r="Q1520" s="35"/>
      <c r="R1520" s="35"/>
    </row>
    <row r="1521" spans="6:18" ht="9.9499999999999993" customHeight="1">
      <c r="F1521" s="35"/>
      <c r="G1521" s="35"/>
      <c r="H1521" s="35"/>
      <c r="I1521" s="35"/>
      <c r="J1521" s="35"/>
      <c r="K1521" s="35"/>
      <c r="L1521" s="35"/>
      <c r="M1521" s="35"/>
      <c r="N1521" s="35"/>
      <c r="O1521" s="35"/>
      <c r="P1521" s="35"/>
      <c r="Q1521" s="35"/>
      <c r="R1521" s="35"/>
    </row>
    <row r="1522" spans="6:18" ht="9.9499999999999993" customHeight="1">
      <c r="F1522" s="35"/>
      <c r="G1522" s="35"/>
      <c r="H1522" s="35"/>
      <c r="I1522" s="35"/>
      <c r="J1522" s="35"/>
      <c r="K1522" s="35"/>
      <c r="L1522" s="35"/>
      <c r="M1522" s="35"/>
      <c r="N1522" s="35"/>
      <c r="O1522" s="35"/>
      <c r="P1522" s="35"/>
      <c r="Q1522" s="35"/>
      <c r="R1522" s="35"/>
    </row>
    <row r="1523" spans="6:18" ht="9.9499999999999993" customHeight="1">
      <c r="F1523" s="35"/>
      <c r="G1523" s="35"/>
      <c r="H1523" s="35"/>
      <c r="I1523" s="35"/>
      <c r="J1523" s="35"/>
      <c r="K1523" s="35"/>
      <c r="L1523" s="35"/>
      <c r="M1523" s="35"/>
      <c r="N1523" s="35"/>
      <c r="O1523" s="35"/>
      <c r="P1523" s="35"/>
      <c r="Q1523" s="35"/>
      <c r="R1523" s="35"/>
    </row>
    <row r="1524" spans="6:18" ht="9.9499999999999993" customHeight="1">
      <c r="F1524" s="35"/>
      <c r="G1524" s="35"/>
      <c r="H1524" s="35"/>
      <c r="I1524" s="35"/>
      <c r="J1524" s="35"/>
      <c r="K1524" s="35"/>
      <c r="L1524" s="35"/>
      <c r="M1524" s="35"/>
      <c r="N1524" s="35"/>
      <c r="O1524" s="35"/>
      <c r="P1524" s="35"/>
      <c r="Q1524" s="35"/>
      <c r="R1524" s="35"/>
    </row>
    <row r="1525" spans="6:18" ht="9.9499999999999993" customHeight="1">
      <c r="F1525" s="35"/>
      <c r="G1525" s="35"/>
      <c r="H1525" s="35"/>
      <c r="I1525" s="35"/>
      <c r="J1525" s="35"/>
      <c r="K1525" s="35"/>
      <c r="L1525" s="35"/>
      <c r="M1525" s="35"/>
      <c r="N1525" s="35"/>
      <c r="O1525" s="35"/>
      <c r="P1525" s="35"/>
      <c r="Q1525" s="35"/>
      <c r="R1525" s="35"/>
    </row>
    <row r="1526" spans="6:18" ht="9.9499999999999993" customHeight="1">
      <c r="F1526" s="35"/>
      <c r="G1526" s="35"/>
      <c r="H1526" s="35"/>
      <c r="I1526" s="35"/>
      <c r="J1526" s="35"/>
      <c r="K1526" s="35"/>
      <c r="L1526" s="35"/>
      <c r="M1526" s="35"/>
      <c r="N1526" s="35"/>
      <c r="O1526" s="35"/>
      <c r="P1526" s="35"/>
      <c r="Q1526" s="35"/>
      <c r="R1526" s="35"/>
    </row>
    <row r="1527" spans="6:18" ht="9.9499999999999993" customHeight="1">
      <c r="F1527" s="35"/>
      <c r="G1527" s="35"/>
      <c r="H1527" s="35"/>
      <c r="I1527" s="35"/>
      <c r="J1527" s="35"/>
      <c r="K1527" s="35"/>
      <c r="L1527" s="35"/>
      <c r="M1527" s="35"/>
      <c r="N1527" s="35"/>
      <c r="O1527" s="35"/>
      <c r="P1527" s="35"/>
      <c r="Q1527" s="35"/>
      <c r="R1527" s="35"/>
    </row>
    <row r="1528" spans="6:18" ht="9.9499999999999993" customHeight="1">
      <c r="F1528" s="35"/>
      <c r="G1528" s="35"/>
      <c r="H1528" s="35"/>
      <c r="I1528" s="35"/>
      <c r="J1528" s="35"/>
      <c r="K1528" s="35"/>
      <c r="L1528" s="35"/>
      <c r="M1528" s="35"/>
      <c r="N1528" s="35"/>
      <c r="O1528" s="35"/>
      <c r="P1528" s="35"/>
      <c r="Q1528" s="35"/>
      <c r="R1528" s="35"/>
    </row>
    <row r="1529" spans="6:18" ht="9.9499999999999993" customHeight="1">
      <c r="F1529" s="35"/>
      <c r="G1529" s="35"/>
      <c r="H1529" s="35"/>
      <c r="I1529" s="35"/>
      <c r="J1529" s="35"/>
      <c r="K1529" s="35"/>
      <c r="L1529" s="35"/>
      <c r="M1529" s="35"/>
      <c r="N1529" s="35"/>
      <c r="O1529" s="35"/>
      <c r="P1529" s="35"/>
      <c r="Q1529" s="35"/>
      <c r="R1529" s="35"/>
    </row>
    <row r="1530" spans="6:18" ht="9.9499999999999993" customHeight="1">
      <c r="F1530" s="35"/>
      <c r="G1530" s="35"/>
      <c r="H1530" s="35"/>
      <c r="I1530" s="35"/>
      <c r="J1530" s="35"/>
      <c r="K1530" s="35"/>
      <c r="L1530" s="35"/>
      <c r="M1530" s="35"/>
      <c r="N1530" s="35"/>
      <c r="O1530" s="35"/>
      <c r="P1530" s="35"/>
      <c r="Q1530" s="35"/>
      <c r="R1530" s="35"/>
    </row>
    <row r="1531" spans="6:18" ht="9.9499999999999993" customHeight="1">
      <c r="F1531" s="35"/>
      <c r="G1531" s="35"/>
      <c r="H1531" s="35"/>
      <c r="I1531" s="35"/>
      <c r="J1531" s="35"/>
      <c r="K1531" s="35"/>
      <c r="L1531" s="35"/>
      <c r="M1531" s="35"/>
      <c r="N1531" s="35"/>
      <c r="O1531" s="35"/>
      <c r="P1531" s="35"/>
      <c r="Q1531" s="35"/>
      <c r="R1531" s="35"/>
    </row>
    <row r="1532" spans="6:18" ht="9.9499999999999993" customHeight="1">
      <c r="F1532" s="35"/>
      <c r="G1532" s="35"/>
      <c r="H1532" s="35"/>
      <c r="I1532" s="35"/>
      <c r="J1532" s="35"/>
      <c r="K1532" s="35"/>
      <c r="L1532" s="35"/>
      <c r="M1532" s="35"/>
      <c r="N1532" s="35"/>
      <c r="O1532" s="35"/>
      <c r="P1532" s="35"/>
      <c r="Q1532" s="35"/>
      <c r="R1532" s="35"/>
    </row>
    <row r="1533" spans="6:18" ht="9.9499999999999993" customHeight="1">
      <c r="F1533" s="35"/>
      <c r="G1533" s="35"/>
      <c r="H1533" s="35"/>
      <c r="I1533" s="35"/>
      <c r="J1533" s="35"/>
      <c r="K1533" s="35"/>
      <c r="L1533" s="35"/>
      <c r="M1533" s="35"/>
      <c r="N1533" s="35"/>
      <c r="O1533" s="35"/>
      <c r="P1533" s="35"/>
      <c r="Q1533" s="35"/>
      <c r="R1533" s="35"/>
    </row>
    <row r="1534" spans="6:18" ht="9.9499999999999993" customHeight="1">
      <c r="F1534" s="35"/>
      <c r="G1534" s="35"/>
      <c r="H1534" s="35"/>
      <c r="I1534" s="35"/>
      <c r="J1534" s="35"/>
      <c r="K1534" s="35"/>
      <c r="L1534" s="35"/>
      <c r="M1534" s="35"/>
      <c r="N1534" s="35"/>
      <c r="O1534" s="35"/>
      <c r="P1534" s="35"/>
      <c r="Q1534" s="35"/>
      <c r="R1534" s="35"/>
    </row>
    <row r="1535" spans="6:18" ht="9.9499999999999993" customHeight="1">
      <c r="F1535" s="35"/>
      <c r="G1535" s="35"/>
      <c r="H1535" s="35"/>
      <c r="I1535" s="35"/>
      <c r="J1535" s="35"/>
      <c r="K1535" s="35"/>
      <c r="L1535" s="35"/>
      <c r="M1535" s="35"/>
      <c r="N1535" s="35"/>
      <c r="O1535" s="35"/>
      <c r="P1535" s="35"/>
      <c r="Q1535" s="35"/>
      <c r="R1535" s="35"/>
    </row>
    <row r="1536" spans="6:18" ht="9.9499999999999993" customHeight="1">
      <c r="F1536" s="35"/>
      <c r="G1536" s="35"/>
      <c r="H1536" s="35"/>
      <c r="I1536" s="35"/>
      <c r="J1536" s="35"/>
      <c r="K1536" s="35"/>
      <c r="L1536" s="35"/>
      <c r="M1536" s="35"/>
      <c r="N1536" s="35"/>
      <c r="O1536" s="35"/>
      <c r="P1536" s="35"/>
      <c r="Q1536" s="35"/>
      <c r="R1536" s="35"/>
    </row>
    <row r="1537" spans="6:18" ht="9.9499999999999993" customHeight="1">
      <c r="F1537" s="35"/>
      <c r="G1537" s="35"/>
      <c r="H1537" s="35"/>
      <c r="I1537" s="35"/>
      <c r="J1537" s="35"/>
      <c r="K1537" s="35"/>
      <c r="L1537" s="35"/>
      <c r="M1537" s="35"/>
      <c r="N1537" s="35"/>
      <c r="O1537" s="35"/>
      <c r="P1537" s="35"/>
      <c r="Q1537" s="35"/>
      <c r="R1537" s="35"/>
    </row>
    <row r="1538" spans="6:18" ht="9.9499999999999993" customHeight="1">
      <c r="F1538" s="35"/>
      <c r="G1538" s="35"/>
      <c r="H1538" s="35"/>
      <c r="I1538" s="35"/>
      <c r="J1538" s="35"/>
      <c r="K1538" s="35"/>
      <c r="L1538" s="35"/>
      <c r="M1538" s="35"/>
      <c r="N1538" s="35"/>
      <c r="O1538" s="35"/>
      <c r="P1538" s="35"/>
      <c r="Q1538" s="35"/>
      <c r="R1538" s="35"/>
    </row>
    <row r="1539" spans="6:18" ht="9.9499999999999993" customHeight="1">
      <c r="F1539" s="35"/>
      <c r="G1539" s="35"/>
      <c r="H1539" s="35"/>
      <c r="I1539" s="35"/>
      <c r="J1539" s="35"/>
      <c r="K1539" s="35"/>
      <c r="L1539" s="35"/>
      <c r="M1539" s="35"/>
      <c r="N1539" s="35"/>
      <c r="O1539" s="35"/>
      <c r="P1539" s="35"/>
      <c r="Q1539" s="35"/>
      <c r="R1539" s="35"/>
    </row>
    <row r="1540" spans="6:18" ht="9.9499999999999993" customHeight="1">
      <c r="F1540" s="35"/>
      <c r="G1540" s="35"/>
      <c r="H1540" s="35"/>
      <c r="I1540" s="35"/>
      <c r="J1540" s="35"/>
      <c r="K1540" s="35"/>
      <c r="L1540" s="35"/>
      <c r="M1540" s="35"/>
      <c r="N1540" s="35"/>
      <c r="O1540" s="35"/>
      <c r="P1540" s="35"/>
      <c r="Q1540" s="35"/>
      <c r="R1540" s="35"/>
    </row>
    <row r="1541" spans="6:18" ht="9.9499999999999993" customHeight="1">
      <c r="F1541" s="35"/>
      <c r="G1541" s="35"/>
      <c r="H1541" s="35"/>
      <c r="I1541" s="35"/>
      <c r="J1541" s="35"/>
      <c r="K1541" s="35"/>
      <c r="L1541" s="35"/>
      <c r="M1541" s="35"/>
      <c r="N1541" s="35"/>
      <c r="O1541" s="35"/>
      <c r="P1541" s="35"/>
      <c r="Q1541" s="35"/>
      <c r="R1541" s="35"/>
    </row>
    <row r="1542" spans="6:18" ht="9.9499999999999993" customHeight="1">
      <c r="F1542" s="35"/>
      <c r="G1542" s="35"/>
      <c r="H1542" s="35"/>
      <c r="I1542" s="35"/>
      <c r="J1542" s="35"/>
      <c r="K1542" s="35"/>
      <c r="L1542" s="35"/>
      <c r="M1542" s="35"/>
      <c r="N1542" s="35"/>
      <c r="O1542" s="35"/>
      <c r="P1542" s="35"/>
      <c r="Q1542" s="35"/>
      <c r="R1542" s="35"/>
    </row>
    <row r="1543" spans="6:18" ht="9.9499999999999993" customHeight="1">
      <c r="F1543" s="35"/>
      <c r="G1543" s="35"/>
      <c r="H1543" s="35"/>
      <c r="I1543" s="35"/>
      <c r="J1543" s="35"/>
      <c r="K1543" s="35"/>
      <c r="L1543" s="35"/>
      <c r="M1543" s="35"/>
      <c r="N1543" s="35"/>
      <c r="O1543" s="35"/>
      <c r="P1543" s="35"/>
      <c r="Q1543" s="35"/>
      <c r="R1543" s="35"/>
    </row>
    <row r="1544" spans="6:18" ht="9.9499999999999993" customHeight="1">
      <c r="F1544" s="35"/>
      <c r="G1544" s="35"/>
      <c r="H1544" s="35"/>
      <c r="I1544" s="35"/>
      <c r="J1544" s="35"/>
      <c r="K1544" s="35"/>
      <c r="L1544" s="35"/>
      <c r="M1544" s="35"/>
      <c r="N1544" s="35"/>
      <c r="O1544" s="35"/>
      <c r="P1544" s="35"/>
      <c r="Q1544" s="35"/>
      <c r="R1544" s="35"/>
    </row>
    <row r="1545" spans="6:18" ht="9.9499999999999993" customHeight="1">
      <c r="F1545" s="35"/>
      <c r="G1545" s="35"/>
      <c r="H1545" s="35"/>
      <c r="I1545" s="35"/>
      <c r="J1545" s="35"/>
      <c r="K1545" s="35"/>
      <c r="L1545" s="35"/>
      <c r="M1545" s="35"/>
      <c r="N1545" s="35"/>
      <c r="O1545" s="35"/>
      <c r="P1545" s="35"/>
      <c r="Q1545" s="35"/>
      <c r="R1545" s="35"/>
    </row>
    <row r="1546" spans="6:18" ht="9.9499999999999993" customHeight="1">
      <c r="F1546" s="35"/>
      <c r="G1546" s="35"/>
      <c r="H1546" s="35"/>
      <c r="I1546" s="35"/>
      <c r="J1546" s="35"/>
      <c r="K1546" s="35"/>
      <c r="L1546" s="35"/>
      <c r="M1546" s="35"/>
      <c r="N1546" s="35"/>
      <c r="O1546" s="35"/>
      <c r="P1546" s="35"/>
      <c r="Q1546" s="35"/>
      <c r="R1546" s="35"/>
    </row>
    <row r="1547" spans="6:18" ht="9.9499999999999993" customHeight="1">
      <c r="F1547" s="35"/>
      <c r="G1547" s="35"/>
      <c r="H1547" s="35"/>
      <c r="I1547" s="35"/>
      <c r="J1547" s="35"/>
      <c r="K1547" s="35"/>
      <c r="L1547" s="35"/>
      <c r="M1547" s="35"/>
      <c r="N1547" s="35"/>
      <c r="O1547" s="35"/>
      <c r="P1547" s="35"/>
      <c r="Q1547" s="35"/>
      <c r="R1547" s="35"/>
    </row>
    <row r="1548" spans="6:18" ht="9.9499999999999993" customHeight="1">
      <c r="F1548" s="35"/>
      <c r="G1548" s="35"/>
      <c r="H1548" s="35"/>
      <c r="I1548" s="35"/>
      <c r="J1548" s="35"/>
      <c r="K1548" s="35"/>
      <c r="L1548" s="35"/>
      <c r="M1548" s="35"/>
      <c r="N1548" s="35"/>
      <c r="O1548" s="35"/>
      <c r="P1548" s="35"/>
      <c r="Q1548" s="35"/>
      <c r="R1548" s="35"/>
    </row>
    <row r="1549" spans="6:18" ht="9.9499999999999993" customHeight="1">
      <c r="F1549" s="35"/>
      <c r="G1549" s="35"/>
      <c r="H1549" s="35"/>
      <c r="I1549" s="35"/>
      <c r="J1549" s="35"/>
      <c r="K1549" s="35"/>
      <c r="L1549" s="35"/>
      <c r="M1549" s="35"/>
      <c r="N1549" s="35"/>
      <c r="O1549" s="35"/>
      <c r="P1549" s="35"/>
      <c r="Q1549" s="35"/>
      <c r="R1549" s="35"/>
    </row>
    <row r="1550" spans="6:18" ht="9.9499999999999993" customHeight="1">
      <c r="F1550" s="35"/>
      <c r="G1550" s="35"/>
      <c r="H1550" s="35"/>
      <c r="I1550" s="35"/>
      <c r="J1550" s="35"/>
      <c r="K1550" s="35"/>
      <c r="L1550" s="35"/>
      <c r="M1550" s="35"/>
      <c r="N1550" s="35"/>
      <c r="O1550" s="35"/>
      <c r="P1550" s="35"/>
      <c r="Q1550" s="35"/>
      <c r="R1550" s="35"/>
    </row>
    <row r="1551" spans="6:18" ht="9.9499999999999993" customHeight="1">
      <c r="F1551" s="35"/>
      <c r="G1551" s="35"/>
      <c r="H1551" s="35"/>
      <c r="I1551" s="35"/>
      <c r="J1551" s="35"/>
      <c r="K1551" s="35"/>
      <c r="L1551" s="35"/>
      <c r="M1551" s="35"/>
      <c r="N1551" s="35"/>
      <c r="O1551" s="35"/>
      <c r="P1551" s="35"/>
      <c r="Q1551" s="35"/>
      <c r="R1551" s="35"/>
    </row>
    <row r="1552" spans="6:18" ht="9.9499999999999993" customHeight="1">
      <c r="F1552" s="35"/>
      <c r="G1552" s="35"/>
      <c r="H1552" s="35"/>
      <c r="I1552" s="35"/>
      <c r="J1552" s="35"/>
      <c r="K1552" s="35"/>
      <c r="L1552" s="35"/>
      <c r="M1552" s="35"/>
      <c r="N1552" s="35"/>
      <c r="O1552" s="35"/>
      <c r="P1552" s="35"/>
      <c r="Q1552" s="35"/>
      <c r="R1552" s="35"/>
    </row>
    <row r="1553" spans="6:18" ht="9.9499999999999993" customHeight="1">
      <c r="F1553" s="35"/>
      <c r="G1553" s="35"/>
      <c r="H1553" s="35"/>
      <c r="I1553" s="35"/>
      <c r="J1553" s="35"/>
      <c r="K1553" s="35"/>
      <c r="L1553" s="35"/>
      <c r="M1553" s="35"/>
      <c r="N1553" s="35"/>
      <c r="O1553" s="35"/>
      <c r="P1553" s="35"/>
      <c r="Q1553" s="35"/>
      <c r="R1553" s="35"/>
    </row>
    <row r="1554" spans="6:18" ht="9.9499999999999993" customHeight="1">
      <c r="F1554" s="35"/>
      <c r="G1554" s="35"/>
      <c r="H1554" s="35"/>
      <c r="I1554" s="35"/>
      <c r="J1554" s="35"/>
      <c r="K1554" s="35"/>
      <c r="L1554" s="35"/>
      <c r="M1554" s="35"/>
      <c r="N1554" s="35"/>
      <c r="O1554" s="35"/>
      <c r="P1554" s="35"/>
      <c r="Q1554" s="35"/>
      <c r="R1554" s="35"/>
    </row>
    <row r="1555" spans="6:18" ht="9.9499999999999993" customHeight="1">
      <c r="F1555" s="35"/>
      <c r="G1555" s="35"/>
      <c r="H1555" s="35"/>
      <c r="I1555" s="35"/>
      <c r="J1555" s="35"/>
      <c r="K1555" s="35"/>
      <c r="L1555" s="35"/>
      <c r="M1555" s="35"/>
      <c r="N1555" s="35"/>
      <c r="O1555" s="35"/>
      <c r="P1555" s="35"/>
      <c r="Q1555" s="35"/>
      <c r="R1555" s="35"/>
    </row>
    <row r="1556" spans="6:18" ht="9.9499999999999993" customHeight="1">
      <c r="F1556" s="35"/>
      <c r="G1556" s="35"/>
      <c r="H1556" s="35"/>
      <c r="I1556" s="35"/>
      <c r="J1556" s="35"/>
      <c r="K1556" s="35"/>
      <c r="L1556" s="35"/>
      <c r="M1556" s="35"/>
      <c r="N1556" s="35"/>
      <c r="O1556" s="35"/>
      <c r="P1556" s="35"/>
      <c r="Q1556" s="35"/>
      <c r="R1556" s="35"/>
    </row>
    <row r="1557" spans="6:18" ht="9.9499999999999993" customHeight="1">
      <c r="F1557" s="35"/>
      <c r="G1557" s="35"/>
      <c r="H1557" s="35"/>
      <c r="I1557" s="35"/>
      <c r="J1557" s="35"/>
      <c r="K1557" s="35"/>
      <c r="L1557" s="35"/>
      <c r="M1557" s="35"/>
      <c r="N1557" s="35"/>
      <c r="O1557" s="35"/>
      <c r="P1557" s="35"/>
      <c r="Q1557" s="35"/>
      <c r="R1557" s="35"/>
    </row>
    <row r="1558" spans="6:18" ht="9.9499999999999993" customHeight="1">
      <c r="F1558" s="35"/>
      <c r="G1558" s="35"/>
      <c r="H1558" s="35"/>
      <c r="I1558" s="35"/>
      <c r="J1558" s="35"/>
      <c r="K1558" s="35"/>
      <c r="L1558" s="35"/>
      <c r="M1558" s="35"/>
      <c r="N1558" s="35"/>
      <c r="O1558" s="35"/>
      <c r="P1558" s="35"/>
      <c r="Q1558" s="35"/>
      <c r="R1558" s="35"/>
    </row>
    <row r="1559" spans="6:18" ht="9.9499999999999993" customHeight="1">
      <c r="F1559" s="35"/>
      <c r="G1559" s="35"/>
      <c r="H1559" s="35"/>
      <c r="I1559" s="35"/>
      <c r="J1559" s="35"/>
      <c r="K1559" s="35"/>
      <c r="L1559" s="35"/>
      <c r="M1559" s="35"/>
      <c r="N1559" s="35"/>
      <c r="O1559" s="35"/>
      <c r="P1559" s="35"/>
      <c r="Q1559" s="35"/>
      <c r="R1559" s="35"/>
    </row>
    <row r="1560" spans="6:18" ht="9.9499999999999993" customHeight="1">
      <c r="F1560" s="35"/>
      <c r="G1560" s="35"/>
      <c r="H1560" s="35"/>
      <c r="I1560" s="35"/>
      <c r="J1560" s="35"/>
      <c r="K1560" s="35"/>
      <c r="L1560" s="35"/>
      <c r="M1560" s="35"/>
      <c r="N1560" s="35"/>
      <c r="O1560" s="35"/>
      <c r="P1560" s="35"/>
      <c r="Q1560" s="35"/>
      <c r="R1560" s="35"/>
    </row>
    <row r="1561" spans="6:18" ht="9.9499999999999993" customHeight="1">
      <c r="F1561" s="35"/>
      <c r="G1561" s="35"/>
      <c r="H1561" s="35"/>
      <c r="I1561" s="35"/>
      <c r="J1561" s="35"/>
      <c r="K1561" s="35"/>
      <c r="L1561" s="35"/>
      <c r="M1561" s="35"/>
      <c r="N1561" s="35"/>
      <c r="O1561" s="35"/>
      <c r="P1561" s="35"/>
      <c r="Q1561" s="35"/>
      <c r="R1561" s="35"/>
    </row>
    <row r="1562" spans="6:18" ht="9.9499999999999993" customHeight="1">
      <c r="F1562" s="35"/>
      <c r="G1562" s="35"/>
      <c r="H1562" s="35"/>
      <c r="I1562" s="35"/>
      <c r="J1562" s="35"/>
      <c r="K1562" s="35"/>
      <c r="L1562" s="35"/>
      <c r="M1562" s="35"/>
      <c r="N1562" s="35"/>
      <c r="O1562" s="35"/>
      <c r="P1562" s="35"/>
      <c r="Q1562" s="35"/>
      <c r="R1562" s="35"/>
    </row>
    <row r="1563" spans="6:18" ht="9.9499999999999993" customHeight="1">
      <c r="F1563" s="35"/>
      <c r="G1563" s="35"/>
      <c r="H1563" s="35"/>
      <c r="I1563" s="35"/>
      <c r="J1563" s="35"/>
      <c r="K1563" s="35"/>
      <c r="L1563" s="35"/>
      <c r="M1563" s="35"/>
      <c r="N1563" s="35"/>
      <c r="O1563" s="35"/>
      <c r="P1563" s="35"/>
      <c r="Q1563" s="35"/>
      <c r="R1563" s="35"/>
    </row>
    <row r="1564" spans="6:18" ht="9.9499999999999993" customHeight="1">
      <c r="F1564" s="35"/>
      <c r="G1564" s="35"/>
      <c r="H1564" s="35"/>
      <c r="I1564" s="35"/>
      <c r="J1564" s="35"/>
      <c r="K1564" s="35"/>
      <c r="L1564" s="35"/>
      <c r="M1564" s="35"/>
      <c r="N1564" s="35"/>
      <c r="O1564" s="35"/>
      <c r="P1564" s="35"/>
      <c r="Q1564" s="35"/>
      <c r="R1564" s="35"/>
    </row>
    <row r="1565" spans="6:18" ht="9.9499999999999993" customHeight="1">
      <c r="F1565" s="35"/>
      <c r="G1565" s="35"/>
      <c r="H1565" s="35"/>
      <c r="I1565" s="35"/>
      <c r="J1565" s="35"/>
      <c r="K1565" s="35"/>
      <c r="L1565" s="35"/>
      <c r="M1565" s="35"/>
      <c r="N1565" s="35"/>
      <c r="O1565" s="35"/>
      <c r="P1565" s="35"/>
      <c r="Q1565" s="35"/>
      <c r="R1565" s="35"/>
    </row>
    <row r="1566" spans="6:18" ht="9.9499999999999993" customHeight="1">
      <c r="F1566" s="35"/>
      <c r="G1566" s="35"/>
      <c r="H1566" s="35"/>
      <c r="I1566" s="35"/>
      <c r="J1566" s="35"/>
      <c r="K1566" s="35"/>
      <c r="L1566" s="35"/>
      <c r="M1566" s="35"/>
      <c r="N1566" s="35"/>
      <c r="O1566" s="35"/>
      <c r="P1566" s="35"/>
      <c r="Q1566" s="35"/>
      <c r="R1566" s="35"/>
    </row>
    <row r="1567" spans="6:18" ht="9.9499999999999993" customHeight="1">
      <c r="F1567" s="35"/>
      <c r="G1567" s="35"/>
      <c r="H1567" s="35"/>
      <c r="I1567" s="35"/>
      <c r="J1567" s="35"/>
      <c r="K1567" s="35"/>
      <c r="L1567" s="35"/>
      <c r="M1567" s="35"/>
      <c r="N1567" s="35"/>
      <c r="O1567" s="35"/>
      <c r="P1567" s="35"/>
      <c r="Q1567" s="35"/>
      <c r="R1567" s="35"/>
    </row>
    <row r="1568" spans="6:18" ht="9.9499999999999993" customHeight="1">
      <c r="F1568" s="35"/>
      <c r="G1568" s="35"/>
      <c r="H1568" s="35"/>
      <c r="I1568" s="35"/>
      <c r="J1568" s="35"/>
      <c r="K1568" s="35"/>
      <c r="L1568" s="35"/>
      <c r="M1568" s="35"/>
      <c r="N1568" s="35"/>
      <c r="O1568" s="35"/>
      <c r="P1568" s="35"/>
      <c r="Q1568" s="35"/>
      <c r="R1568" s="35"/>
    </row>
    <row r="1569" spans="6:18" ht="9.9499999999999993" customHeight="1">
      <c r="F1569" s="35"/>
      <c r="G1569" s="35"/>
      <c r="H1569" s="35"/>
      <c r="I1569" s="35"/>
      <c r="J1569" s="35"/>
      <c r="K1569" s="35"/>
      <c r="L1569" s="35"/>
      <c r="M1569" s="35"/>
      <c r="N1569" s="35"/>
      <c r="O1569" s="35"/>
      <c r="P1569" s="35"/>
      <c r="Q1569" s="35"/>
      <c r="R1569" s="35"/>
    </row>
    <row r="1570" spans="6:18" ht="9.9499999999999993" customHeight="1">
      <c r="F1570" s="35"/>
      <c r="G1570" s="35"/>
      <c r="H1570" s="35"/>
      <c r="I1570" s="35"/>
      <c r="J1570" s="35"/>
      <c r="K1570" s="35"/>
      <c r="L1570" s="35"/>
      <c r="M1570" s="35"/>
      <c r="N1570" s="35"/>
      <c r="O1570" s="35"/>
      <c r="P1570" s="35"/>
      <c r="Q1570" s="35"/>
      <c r="R1570" s="35"/>
    </row>
    <row r="1571" spans="6:18" ht="9.9499999999999993" customHeight="1">
      <c r="F1571" s="35"/>
      <c r="G1571" s="35"/>
      <c r="H1571" s="35"/>
      <c r="I1571" s="35"/>
      <c r="J1571" s="35"/>
      <c r="K1571" s="35"/>
      <c r="L1571" s="35"/>
      <c r="M1571" s="35"/>
      <c r="N1571" s="35"/>
      <c r="O1571" s="35"/>
      <c r="P1571" s="35"/>
      <c r="Q1571" s="35"/>
      <c r="R1571" s="35"/>
    </row>
    <row r="1572" spans="6:18" ht="9.9499999999999993" customHeight="1">
      <c r="F1572" s="35"/>
      <c r="G1572" s="35"/>
      <c r="H1572" s="35"/>
      <c r="I1572" s="35"/>
      <c r="J1572" s="35"/>
      <c r="K1572" s="35"/>
      <c r="L1572" s="35"/>
      <c r="M1572" s="35"/>
      <c r="N1572" s="35"/>
      <c r="O1572" s="35"/>
      <c r="P1572" s="35"/>
      <c r="Q1572" s="35"/>
      <c r="R1572" s="35"/>
    </row>
    <row r="1573" spans="6:18" ht="9.9499999999999993" customHeight="1">
      <c r="F1573" s="35"/>
      <c r="G1573" s="35"/>
      <c r="H1573" s="35"/>
      <c r="I1573" s="35"/>
      <c r="J1573" s="35"/>
      <c r="K1573" s="35"/>
      <c r="L1573" s="35"/>
      <c r="M1573" s="35"/>
      <c r="N1573" s="35"/>
      <c r="O1573" s="35"/>
      <c r="P1573" s="35"/>
      <c r="Q1573" s="35"/>
      <c r="R1573" s="35"/>
    </row>
    <row r="1574" spans="6:18" ht="9.9499999999999993" customHeight="1">
      <c r="F1574" s="35"/>
      <c r="G1574" s="35"/>
      <c r="H1574" s="35"/>
      <c r="I1574" s="35"/>
      <c r="J1574" s="35"/>
      <c r="K1574" s="35"/>
      <c r="L1574" s="35"/>
      <c r="M1574" s="35"/>
      <c r="N1574" s="35"/>
      <c r="O1574" s="35"/>
      <c r="P1574" s="35"/>
      <c r="Q1574" s="35"/>
      <c r="R1574" s="35"/>
    </row>
    <row r="1575" spans="6:18" ht="9.9499999999999993" customHeight="1">
      <c r="F1575" s="35"/>
      <c r="G1575" s="35"/>
      <c r="H1575" s="35"/>
      <c r="I1575" s="35"/>
      <c r="J1575" s="35"/>
      <c r="K1575" s="35"/>
      <c r="L1575" s="35"/>
      <c r="M1575" s="35"/>
      <c r="N1575" s="35"/>
      <c r="O1575" s="35"/>
      <c r="P1575" s="35"/>
      <c r="Q1575" s="35"/>
      <c r="R1575" s="35"/>
    </row>
    <row r="1576" spans="6:18" ht="9.9499999999999993" customHeight="1">
      <c r="F1576" s="35"/>
      <c r="G1576" s="35"/>
      <c r="H1576" s="35"/>
      <c r="I1576" s="35"/>
      <c r="J1576" s="35"/>
      <c r="K1576" s="35"/>
      <c r="L1576" s="35"/>
      <c r="M1576" s="35"/>
      <c r="N1576" s="35"/>
      <c r="O1576" s="35"/>
      <c r="P1576" s="35"/>
      <c r="Q1576" s="35"/>
      <c r="R1576" s="35"/>
    </row>
    <row r="1577" spans="6:18" ht="9.9499999999999993" customHeight="1">
      <c r="F1577" s="35"/>
      <c r="G1577" s="35"/>
      <c r="H1577" s="35"/>
      <c r="I1577" s="35"/>
      <c r="J1577" s="35"/>
      <c r="K1577" s="35"/>
      <c r="L1577" s="35"/>
      <c r="M1577" s="35"/>
      <c r="N1577" s="35"/>
      <c r="O1577" s="35"/>
      <c r="P1577" s="35"/>
      <c r="Q1577" s="35"/>
      <c r="R1577" s="35"/>
    </row>
    <row r="1578" spans="6:18" ht="9.9499999999999993" customHeight="1">
      <c r="F1578" s="35"/>
      <c r="G1578" s="35"/>
      <c r="H1578" s="35"/>
      <c r="I1578" s="35"/>
      <c r="J1578" s="35"/>
      <c r="K1578" s="35"/>
      <c r="L1578" s="35"/>
      <c r="M1578" s="35"/>
      <c r="N1578" s="35"/>
      <c r="O1578" s="35"/>
      <c r="P1578" s="35"/>
      <c r="Q1578" s="35"/>
      <c r="R1578" s="35"/>
    </row>
    <row r="1579" spans="6:18" ht="9.9499999999999993" customHeight="1">
      <c r="F1579" s="35"/>
      <c r="G1579" s="35"/>
      <c r="H1579" s="35"/>
      <c r="I1579" s="35"/>
      <c r="J1579" s="35"/>
      <c r="K1579" s="35"/>
      <c r="L1579" s="35"/>
      <c r="M1579" s="35"/>
      <c r="N1579" s="35"/>
      <c r="O1579" s="35"/>
      <c r="P1579" s="35"/>
      <c r="Q1579" s="35"/>
      <c r="R1579" s="35"/>
    </row>
    <row r="1580" spans="6:18" ht="9.9499999999999993" customHeight="1">
      <c r="F1580" s="35"/>
      <c r="G1580" s="35"/>
      <c r="H1580" s="35"/>
      <c r="I1580" s="35"/>
      <c r="J1580" s="35"/>
      <c r="K1580" s="35"/>
      <c r="L1580" s="35"/>
      <c r="M1580" s="35"/>
      <c r="N1580" s="35"/>
      <c r="O1580" s="35"/>
      <c r="P1580" s="35"/>
      <c r="Q1580" s="35"/>
      <c r="R1580" s="35"/>
    </row>
    <row r="1581" spans="6:18" ht="9.9499999999999993" customHeight="1">
      <c r="F1581" s="35"/>
      <c r="G1581" s="35"/>
      <c r="H1581" s="35"/>
      <c r="I1581" s="35"/>
      <c r="J1581" s="35"/>
      <c r="K1581" s="35"/>
      <c r="L1581" s="35"/>
      <c r="M1581" s="35"/>
      <c r="N1581" s="35"/>
      <c r="O1581" s="35"/>
      <c r="P1581" s="35"/>
      <c r="Q1581" s="35"/>
      <c r="R1581" s="35"/>
    </row>
    <row r="1582" spans="6:18" ht="9.9499999999999993" customHeight="1">
      <c r="F1582" s="35"/>
      <c r="G1582" s="35"/>
      <c r="H1582" s="35"/>
      <c r="I1582" s="35"/>
      <c r="J1582" s="35"/>
      <c r="K1582" s="35"/>
      <c r="L1582" s="35"/>
      <c r="M1582" s="35"/>
      <c r="N1582" s="35"/>
      <c r="O1582" s="35"/>
      <c r="P1582" s="35"/>
      <c r="Q1582" s="35"/>
      <c r="R1582" s="35"/>
    </row>
    <row r="1583" spans="6:18" ht="9.9499999999999993" customHeight="1">
      <c r="F1583" s="35"/>
      <c r="G1583" s="35"/>
      <c r="H1583" s="35"/>
      <c r="I1583" s="35"/>
      <c r="J1583" s="35"/>
      <c r="K1583" s="35"/>
      <c r="L1583" s="35"/>
      <c r="M1583" s="35"/>
      <c r="N1583" s="35"/>
      <c r="O1583" s="35"/>
      <c r="P1583" s="35"/>
      <c r="Q1583" s="35"/>
      <c r="R1583" s="35"/>
    </row>
    <row r="1584" spans="6:18" ht="9.9499999999999993" customHeight="1">
      <c r="F1584" s="35"/>
      <c r="G1584" s="35"/>
      <c r="H1584" s="35"/>
      <c r="I1584" s="35"/>
      <c r="J1584" s="35"/>
      <c r="K1584" s="35"/>
      <c r="L1584" s="35"/>
      <c r="M1584" s="35"/>
      <c r="N1584" s="35"/>
      <c r="O1584" s="35"/>
      <c r="P1584" s="35"/>
      <c r="Q1584" s="35"/>
      <c r="R1584" s="35"/>
    </row>
    <row r="1585" spans="6:18" ht="9.9499999999999993" customHeight="1">
      <c r="F1585" s="35"/>
      <c r="G1585" s="35"/>
      <c r="H1585" s="35"/>
      <c r="I1585" s="35"/>
      <c r="J1585" s="35"/>
      <c r="K1585" s="35"/>
      <c r="L1585" s="35"/>
      <c r="M1585" s="35"/>
      <c r="N1585" s="35"/>
      <c r="O1585" s="35"/>
      <c r="P1585" s="35"/>
      <c r="Q1585" s="35"/>
      <c r="R1585" s="35"/>
    </row>
    <row r="1586" spans="6:18" ht="9.9499999999999993" customHeight="1">
      <c r="F1586" s="35"/>
      <c r="G1586" s="35"/>
      <c r="H1586" s="35"/>
      <c r="I1586" s="35"/>
      <c r="J1586" s="35"/>
      <c r="K1586" s="35"/>
      <c r="L1586" s="35"/>
      <c r="M1586" s="35"/>
      <c r="N1586" s="35"/>
      <c r="O1586" s="35"/>
      <c r="P1586" s="35"/>
      <c r="Q1586" s="35"/>
      <c r="R1586" s="35"/>
    </row>
    <row r="1587" spans="6:18" ht="9.9499999999999993" customHeight="1">
      <c r="F1587" s="35"/>
      <c r="G1587" s="35"/>
      <c r="H1587" s="35"/>
      <c r="I1587" s="35"/>
      <c r="J1587" s="35"/>
      <c r="K1587" s="35"/>
      <c r="L1587" s="35"/>
      <c r="M1587" s="35"/>
      <c r="N1587" s="35"/>
      <c r="O1587" s="35"/>
      <c r="P1587" s="35"/>
      <c r="Q1587" s="35"/>
      <c r="R1587" s="35"/>
    </row>
    <row r="1588" spans="6:18" ht="9.9499999999999993" customHeight="1">
      <c r="F1588" s="35"/>
      <c r="G1588" s="35"/>
      <c r="H1588" s="35"/>
      <c r="I1588" s="35"/>
      <c r="J1588" s="35"/>
      <c r="K1588" s="35"/>
      <c r="L1588" s="35"/>
      <c r="M1588" s="35"/>
      <c r="N1588" s="35"/>
      <c r="O1588" s="35"/>
      <c r="P1588" s="35"/>
      <c r="Q1588" s="35"/>
      <c r="R1588" s="35"/>
    </row>
    <row r="1589" spans="6:18" ht="9.9499999999999993" customHeight="1">
      <c r="F1589" s="35"/>
      <c r="G1589" s="35"/>
      <c r="H1589" s="35"/>
      <c r="I1589" s="35"/>
      <c r="J1589" s="35"/>
      <c r="K1589" s="35"/>
      <c r="L1589" s="35"/>
      <c r="M1589" s="35"/>
      <c r="N1589" s="35"/>
      <c r="O1589" s="35"/>
      <c r="P1589" s="35"/>
      <c r="Q1589" s="35"/>
      <c r="R1589" s="35"/>
    </row>
    <row r="1590" spans="6:18" ht="9.9499999999999993" customHeight="1">
      <c r="F1590" s="35"/>
      <c r="G1590" s="35"/>
      <c r="H1590" s="35"/>
      <c r="I1590" s="35"/>
      <c r="J1590" s="35"/>
      <c r="K1590" s="35"/>
      <c r="L1590" s="35"/>
      <c r="M1590" s="35"/>
      <c r="N1590" s="35"/>
      <c r="O1590" s="35"/>
      <c r="P1590" s="35"/>
      <c r="Q1590" s="35"/>
      <c r="R1590" s="35"/>
    </row>
    <row r="1591" spans="6:18" ht="9.9499999999999993" customHeight="1">
      <c r="F1591" s="35"/>
      <c r="G1591" s="35"/>
      <c r="H1591" s="35"/>
      <c r="I1591" s="35"/>
      <c r="J1591" s="35"/>
      <c r="K1591" s="35"/>
      <c r="L1591" s="35"/>
      <c r="M1591" s="35"/>
      <c r="N1591" s="35"/>
      <c r="O1591" s="35"/>
      <c r="P1591" s="35"/>
      <c r="Q1591" s="35"/>
      <c r="R1591" s="35"/>
    </row>
    <row r="1592" spans="6:18" ht="9.9499999999999993" customHeight="1">
      <c r="F1592" s="35"/>
      <c r="G1592" s="35"/>
      <c r="H1592" s="35"/>
      <c r="I1592" s="35"/>
      <c r="J1592" s="35"/>
      <c r="K1592" s="35"/>
      <c r="L1592" s="35"/>
      <c r="M1592" s="35"/>
      <c r="N1592" s="35"/>
      <c r="O1592" s="35"/>
      <c r="P1592" s="35"/>
      <c r="Q1592" s="35"/>
      <c r="R1592" s="35"/>
    </row>
    <row r="1593" spans="6:18" ht="9.9499999999999993" customHeight="1">
      <c r="F1593" s="35"/>
      <c r="G1593" s="35"/>
      <c r="H1593" s="35"/>
      <c r="I1593" s="35"/>
      <c r="J1593" s="35"/>
      <c r="K1593" s="35"/>
      <c r="L1593" s="35"/>
      <c r="M1593" s="35"/>
      <c r="N1593" s="35"/>
      <c r="O1593" s="35"/>
      <c r="P1593" s="35"/>
      <c r="Q1593" s="35"/>
      <c r="R1593" s="35"/>
    </row>
    <row r="1594" spans="6:18" ht="9.9499999999999993" customHeight="1">
      <c r="F1594" s="35"/>
      <c r="G1594" s="35"/>
      <c r="H1594" s="35"/>
      <c r="I1594" s="35"/>
      <c r="J1594" s="35"/>
      <c r="K1594" s="35"/>
      <c r="L1594" s="35"/>
      <c r="M1594" s="35"/>
      <c r="N1594" s="35"/>
      <c r="O1594" s="35"/>
      <c r="P1594" s="35"/>
      <c r="Q1594" s="35"/>
      <c r="R1594" s="35"/>
    </row>
    <row r="1595" spans="6:18" ht="9.9499999999999993" customHeight="1">
      <c r="F1595" s="35"/>
      <c r="G1595" s="35"/>
      <c r="H1595" s="35"/>
      <c r="I1595" s="35"/>
      <c r="J1595" s="35"/>
      <c r="K1595" s="35"/>
      <c r="L1595" s="35"/>
      <c r="M1595" s="35"/>
      <c r="N1595" s="35"/>
      <c r="O1595" s="35"/>
      <c r="P1595" s="35"/>
      <c r="Q1595" s="35"/>
      <c r="R1595" s="35"/>
    </row>
    <row r="1596" spans="6:18" ht="9.9499999999999993" customHeight="1">
      <c r="F1596" s="35"/>
      <c r="G1596" s="35"/>
      <c r="H1596" s="35"/>
      <c r="I1596" s="35"/>
      <c r="J1596" s="35"/>
      <c r="K1596" s="35"/>
      <c r="L1596" s="35"/>
      <c r="M1596" s="35"/>
      <c r="N1596" s="35"/>
      <c r="O1596" s="35"/>
      <c r="P1596" s="35"/>
      <c r="Q1596" s="35"/>
      <c r="R1596" s="35"/>
    </row>
    <row r="1597" spans="6:18" ht="9.9499999999999993" customHeight="1">
      <c r="F1597" s="35"/>
      <c r="G1597" s="35"/>
      <c r="H1597" s="35"/>
      <c r="I1597" s="35"/>
      <c r="J1597" s="35"/>
      <c r="K1597" s="35"/>
      <c r="L1597" s="35"/>
      <c r="M1597" s="35"/>
      <c r="N1597" s="35"/>
      <c r="O1597" s="35"/>
      <c r="P1597" s="35"/>
      <c r="Q1597" s="35"/>
      <c r="R1597" s="35"/>
    </row>
    <row r="1598" spans="6:18" ht="9.9499999999999993" customHeight="1">
      <c r="F1598" s="35"/>
      <c r="G1598" s="35"/>
      <c r="H1598" s="35"/>
      <c r="I1598" s="35"/>
      <c r="J1598" s="35"/>
      <c r="K1598" s="35"/>
      <c r="L1598" s="35"/>
      <c r="M1598" s="35"/>
      <c r="N1598" s="35"/>
      <c r="O1598" s="35"/>
      <c r="P1598" s="35"/>
      <c r="Q1598" s="35"/>
      <c r="R1598" s="35"/>
    </row>
    <row r="1599" spans="6:18" ht="9.9499999999999993" customHeight="1">
      <c r="F1599" s="35"/>
      <c r="G1599" s="35"/>
      <c r="H1599" s="35"/>
      <c r="I1599" s="35"/>
      <c r="J1599" s="35"/>
      <c r="K1599" s="35"/>
      <c r="L1599" s="35"/>
      <c r="M1599" s="35"/>
      <c r="N1599" s="35"/>
      <c r="O1599" s="35"/>
      <c r="P1599" s="35"/>
      <c r="Q1599" s="35"/>
      <c r="R1599" s="35"/>
    </row>
    <row r="1600" spans="6:18" ht="9.9499999999999993" customHeight="1">
      <c r="F1600" s="35"/>
      <c r="G1600" s="35"/>
      <c r="H1600" s="35"/>
      <c r="I1600" s="35"/>
      <c r="J1600" s="35"/>
      <c r="K1600" s="35"/>
      <c r="L1600" s="35"/>
      <c r="M1600" s="35"/>
      <c r="N1600" s="35"/>
      <c r="O1600" s="35"/>
      <c r="P1600" s="35"/>
      <c r="Q1600" s="35"/>
      <c r="R1600" s="35"/>
    </row>
    <row r="1601" spans="6:18" ht="9.9499999999999993" customHeight="1">
      <c r="F1601" s="35"/>
      <c r="G1601" s="35"/>
      <c r="H1601" s="35"/>
      <c r="I1601" s="35"/>
      <c r="J1601" s="35"/>
      <c r="K1601" s="35"/>
      <c r="L1601" s="35"/>
      <c r="M1601" s="35"/>
      <c r="N1601" s="35"/>
      <c r="O1601" s="35"/>
      <c r="P1601" s="35"/>
      <c r="Q1601" s="35"/>
      <c r="R1601" s="35"/>
    </row>
    <row r="1602" spans="6:18" ht="9.9499999999999993" customHeight="1">
      <c r="F1602" s="35"/>
      <c r="G1602" s="35"/>
      <c r="H1602" s="35"/>
      <c r="I1602" s="35"/>
      <c r="J1602" s="35"/>
      <c r="K1602" s="35"/>
      <c r="L1602" s="35"/>
      <c r="M1602" s="35"/>
      <c r="N1602" s="35"/>
      <c r="O1602" s="35"/>
      <c r="P1602" s="35"/>
      <c r="Q1602" s="35"/>
      <c r="R1602" s="35"/>
    </row>
    <row r="1603" spans="6:18" ht="9.9499999999999993" customHeight="1">
      <c r="F1603" s="35"/>
      <c r="G1603" s="35"/>
      <c r="H1603" s="35"/>
      <c r="I1603" s="35"/>
      <c r="J1603" s="35"/>
      <c r="K1603" s="35"/>
      <c r="L1603" s="35"/>
      <c r="M1603" s="35"/>
      <c r="N1603" s="35"/>
      <c r="O1603" s="35"/>
      <c r="P1603" s="35"/>
      <c r="Q1603" s="35"/>
      <c r="R1603" s="35"/>
    </row>
    <row r="1604" spans="6:18" ht="9.9499999999999993" customHeight="1">
      <c r="F1604" s="35"/>
      <c r="G1604" s="35"/>
      <c r="H1604" s="35"/>
      <c r="I1604" s="35"/>
      <c r="J1604" s="35"/>
      <c r="K1604" s="35"/>
      <c r="L1604" s="35"/>
      <c r="M1604" s="35"/>
      <c r="N1604" s="35"/>
      <c r="O1604" s="35"/>
      <c r="P1604" s="35"/>
      <c r="Q1604" s="35"/>
      <c r="R1604" s="35"/>
    </row>
    <row r="1605" spans="6:18" ht="9.9499999999999993" customHeight="1">
      <c r="F1605" s="35"/>
      <c r="G1605" s="35"/>
      <c r="H1605" s="35"/>
      <c r="I1605" s="35"/>
      <c r="J1605" s="35"/>
      <c r="K1605" s="35"/>
      <c r="L1605" s="35"/>
      <c r="M1605" s="35"/>
      <c r="N1605" s="35"/>
      <c r="O1605" s="35"/>
      <c r="P1605" s="35"/>
      <c r="Q1605" s="35"/>
      <c r="R1605" s="35"/>
    </row>
    <row r="1606" spans="6:18" ht="9.9499999999999993" customHeight="1">
      <c r="F1606" s="35"/>
      <c r="G1606" s="35"/>
      <c r="H1606" s="35"/>
      <c r="I1606" s="35"/>
      <c r="J1606" s="35"/>
      <c r="K1606" s="35"/>
      <c r="L1606" s="35"/>
      <c r="M1606" s="35"/>
      <c r="N1606" s="35"/>
      <c r="O1606" s="35"/>
      <c r="P1606" s="35"/>
      <c r="Q1606" s="35"/>
      <c r="R1606" s="35"/>
    </row>
    <row r="1607" spans="6:18" ht="9.9499999999999993" customHeight="1">
      <c r="F1607" s="35"/>
      <c r="G1607" s="35"/>
      <c r="H1607" s="35"/>
      <c r="I1607" s="35"/>
      <c r="J1607" s="35"/>
      <c r="K1607" s="35"/>
      <c r="L1607" s="35"/>
      <c r="M1607" s="35"/>
      <c r="N1607" s="35"/>
      <c r="O1607" s="35"/>
      <c r="P1607" s="35"/>
      <c r="Q1607" s="35"/>
      <c r="R1607" s="35"/>
    </row>
    <row r="1608" spans="6:18" ht="9.9499999999999993" customHeight="1">
      <c r="F1608" s="35"/>
      <c r="G1608" s="35"/>
      <c r="H1608" s="35"/>
      <c r="I1608" s="35"/>
      <c r="J1608" s="35"/>
      <c r="K1608" s="35"/>
      <c r="L1608" s="35"/>
      <c r="M1608" s="35"/>
      <c r="N1608" s="35"/>
      <c r="O1608" s="35"/>
      <c r="P1608" s="35"/>
      <c r="Q1608" s="35"/>
      <c r="R1608" s="35"/>
    </row>
    <row r="1609" spans="6:18" ht="9.9499999999999993" customHeight="1">
      <c r="F1609" s="35"/>
      <c r="G1609" s="35"/>
      <c r="H1609" s="35"/>
      <c r="I1609" s="35"/>
      <c r="J1609" s="35"/>
      <c r="K1609" s="35"/>
      <c r="L1609" s="35"/>
      <c r="M1609" s="35"/>
      <c r="N1609" s="35"/>
      <c r="O1609" s="35"/>
      <c r="P1609" s="35"/>
      <c r="Q1609" s="35"/>
      <c r="R1609" s="35"/>
    </row>
    <row r="1610" spans="6:18" ht="9.9499999999999993" customHeight="1">
      <c r="F1610" s="35"/>
      <c r="G1610" s="35"/>
      <c r="H1610" s="35"/>
      <c r="I1610" s="35"/>
      <c r="J1610" s="35"/>
      <c r="K1610" s="35"/>
      <c r="L1610" s="35"/>
      <c r="M1610" s="35"/>
      <c r="N1610" s="35"/>
      <c r="O1610" s="35"/>
      <c r="P1610" s="35"/>
      <c r="Q1610" s="35"/>
      <c r="R1610" s="35"/>
    </row>
    <row r="1611" spans="6:18" ht="9.9499999999999993" customHeight="1">
      <c r="F1611" s="35"/>
      <c r="G1611" s="35"/>
      <c r="H1611" s="35"/>
      <c r="I1611" s="35"/>
      <c r="J1611" s="35"/>
      <c r="K1611" s="35"/>
      <c r="L1611" s="35"/>
      <c r="M1611" s="35"/>
      <c r="N1611" s="35"/>
      <c r="O1611" s="35"/>
      <c r="P1611" s="35"/>
      <c r="Q1611" s="35"/>
      <c r="R1611" s="35"/>
    </row>
    <row r="1612" spans="6:18" ht="9.9499999999999993" customHeight="1">
      <c r="F1612" s="35"/>
      <c r="G1612" s="35"/>
      <c r="H1612" s="35"/>
      <c r="I1612" s="35"/>
      <c r="J1612" s="35"/>
      <c r="K1612" s="35"/>
      <c r="L1612" s="35"/>
      <c r="M1612" s="35"/>
      <c r="N1612" s="35"/>
      <c r="O1612" s="35"/>
      <c r="P1612" s="35"/>
      <c r="Q1612" s="35"/>
      <c r="R1612" s="35"/>
    </row>
    <row r="1613" spans="6:18" ht="9.9499999999999993" customHeight="1">
      <c r="F1613" s="35"/>
      <c r="G1613" s="35"/>
      <c r="H1613" s="35"/>
      <c r="I1613" s="35"/>
      <c r="J1613" s="35"/>
      <c r="K1613" s="35"/>
      <c r="L1613" s="35"/>
      <c r="M1613" s="35"/>
      <c r="N1613" s="35"/>
      <c r="O1613" s="35"/>
      <c r="P1613" s="35"/>
      <c r="Q1613" s="35"/>
      <c r="R1613" s="35"/>
    </row>
    <row r="1614" spans="6:18" ht="9.9499999999999993" customHeight="1">
      <c r="F1614" s="35"/>
      <c r="G1614" s="35"/>
      <c r="H1614" s="35"/>
      <c r="I1614" s="35"/>
      <c r="J1614" s="35"/>
      <c r="K1614" s="35"/>
      <c r="L1614" s="35"/>
      <c r="M1614" s="35"/>
      <c r="N1614" s="35"/>
      <c r="O1614" s="35"/>
      <c r="P1614" s="35"/>
      <c r="Q1614" s="35"/>
      <c r="R1614" s="35"/>
    </row>
    <row r="1615" spans="6:18" ht="9.9499999999999993" customHeight="1">
      <c r="F1615" s="35"/>
      <c r="G1615" s="35"/>
      <c r="H1615" s="35"/>
      <c r="I1615" s="35"/>
      <c r="J1615" s="35"/>
      <c r="K1615" s="35"/>
      <c r="L1615" s="35"/>
      <c r="M1615" s="35"/>
      <c r="N1615" s="35"/>
      <c r="O1615" s="35"/>
      <c r="P1615" s="35"/>
      <c r="Q1615" s="35"/>
      <c r="R1615" s="35"/>
    </row>
    <row r="1616" spans="6:18" ht="9.9499999999999993" customHeight="1">
      <c r="F1616" s="35"/>
      <c r="G1616" s="35"/>
      <c r="H1616" s="35"/>
      <c r="I1616" s="35"/>
      <c r="J1616" s="35"/>
      <c r="K1616" s="35"/>
      <c r="L1616" s="35"/>
      <c r="M1616" s="35"/>
      <c r="N1616" s="35"/>
      <c r="O1616" s="35"/>
      <c r="P1616" s="35"/>
      <c r="Q1616" s="35"/>
      <c r="R1616" s="35"/>
    </row>
    <row r="1617" spans="6:18" ht="9.9499999999999993" customHeight="1">
      <c r="F1617" s="35"/>
      <c r="G1617" s="35"/>
      <c r="H1617" s="35"/>
      <c r="I1617" s="35"/>
      <c r="J1617" s="35"/>
      <c r="K1617" s="35"/>
      <c r="L1617" s="35"/>
      <c r="M1617" s="35"/>
      <c r="N1617" s="35"/>
      <c r="O1617" s="35"/>
      <c r="P1617" s="35"/>
      <c r="Q1617" s="35"/>
      <c r="R1617" s="35"/>
    </row>
    <row r="1618" spans="6:18" ht="9.9499999999999993" customHeight="1">
      <c r="F1618" s="35"/>
      <c r="G1618" s="35"/>
      <c r="H1618" s="35"/>
      <c r="I1618" s="35"/>
      <c r="J1618" s="35"/>
      <c r="K1618" s="35"/>
      <c r="L1618" s="35"/>
      <c r="M1618" s="35"/>
      <c r="N1618" s="35"/>
      <c r="O1618" s="35"/>
      <c r="P1618" s="35"/>
      <c r="Q1618" s="35"/>
      <c r="R1618" s="35"/>
    </row>
    <row r="1619" spans="6:18" ht="9.9499999999999993" customHeight="1">
      <c r="F1619" s="35"/>
      <c r="G1619" s="35"/>
      <c r="H1619" s="35"/>
      <c r="I1619" s="35"/>
      <c r="J1619" s="35"/>
      <c r="K1619" s="35"/>
      <c r="L1619" s="35"/>
      <c r="M1619" s="35"/>
      <c r="N1619" s="35"/>
      <c r="O1619" s="35"/>
      <c r="P1619" s="35"/>
      <c r="Q1619" s="35"/>
      <c r="R1619" s="35"/>
    </row>
    <row r="1620" spans="6:18" ht="9.9499999999999993" customHeight="1">
      <c r="F1620" s="35"/>
      <c r="G1620" s="35"/>
      <c r="H1620" s="35"/>
      <c r="I1620" s="35"/>
      <c r="J1620" s="35"/>
      <c r="K1620" s="35"/>
      <c r="L1620" s="35"/>
      <c r="M1620" s="35"/>
      <c r="N1620" s="35"/>
      <c r="O1620" s="35"/>
      <c r="P1620" s="35"/>
      <c r="Q1620" s="35"/>
      <c r="R1620" s="35"/>
    </row>
    <row r="1621" spans="6:18" ht="9.9499999999999993" customHeight="1">
      <c r="F1621" s="35"/>
      <c r="G1621" s="35"/>
      <c r="H1621" s="35"/>
      <c r="I1621" s="35"/>
      <c r="J1621" s="35"/>
      <c r="K1621" s="35"/>
      <c r="L1621" s="35"/>
      <c r="M1621" s="35"/>
      <c r="N1621" s="35"/>
      <c r="O1621" s="35"/>
      <c r="P1621" s="35"/>
      <c r="Q1621" s="35"/>
      <c r="R1621" s="35"/>
    </row>
    <row r="1622" spans="6:18" ht="9.9499999999999993" customHeight="1">
      <c r="F1622" s="35"/>
      <c r="G1622" s="35"/>
      <c r="H1622" s="35"/>
      <c r="I1622" s="35"/>
      <c r="J1622" s="35"/>
      <c r="K1622" s="35"/>
      <c r="L1622" s="35"/>
      <c r="M1622" s="35"/>
      <c r="N1622" s="35"/>
      <c r="O1622" s="35"/>
      <c r="P1622" s="35"/>
      <c r="Q1622" s="35"/>
      <c r="R1622" s="35"/>
    </row>
    <row r="1623" spans="6:18" ht="9.9499999999999993" customHeight="1">
      <c r="F1623" s="35"/>
      <c r="G1623" s="35"/>
      <c r="H1623" s="35"/>
      <c r="I1623" s="35"/>
      <c r="J1623" s="35"/>
      <c r="K1623" s="35"/>
      <c r="L1623" s="35"/>
      <c r="M1623" s="35"/>
      <c r="N1623" s="35"/>
      <c r="O1623" s="35"/>
      <c r="P1623" s="35"/>
      <c r="Q1623" s="35"/>
      <c r="R1623" s="35"/>
    </row>
    <row r="1624" spans="6:18" ht="9.9499999999999993" customHeight="1">
      <c r="F1624" s="35"/>
      <c r="G1624" s="35"/>
      <c r="H1624" s="35"/>
      <c r="I1624" s="35"/>
      <c r="J1624" s="35"/>
      <c r="K1624" s="35"/>
      <c r="L1624" s="35"/>
      <c r="M1624" s="35"/>
      <c r="N1624" s="35"/>
      <c r="O1624" s="35"/>
      <c r="P1624" s="35"/>
      <c r="Q1624" s="35"/>
      <c r="R1624" s="35"/>
    </row>
    <row r="1625" spans="6:18" ht="9.9499999999999993" customHeight="1">
      <c r="F1625" s="35"/>
      <c r="G1625" s="35"/>
      <c r="H1625" s="35"/>
      <c r="I1625" s="35"/>
      <c r="J1625" s="35"/>
      <c r="K1625" s="35"/>
      <c r="L1625" s="35"/>
      <c r="M1625" s="35"/>
      <c r="N1625" s="35"/>
      <c r="O1625" s="35"/>
      <c r="P1625" s="35"/>
      <c r="Q1625" s="35"/>
      <c r="R1625" s="35"/>
    </row>
    <row r="1626" spans="6:18" ht="9.9499999999999993" customHeight="1">
      <c r="F1626" s="35"/>
      <c r="G1626" s="35"/>
      <c r="H1626" s="35"/>
      <c r="I1626" s="35"/>
      <c r="J1626" s="35"/>
      <c r="K1626" s="35"/>
      <c r="L1626" s="35"/>
      <c r="M1626" s="35"/>
      <c r="N1626" s="35"/>
      <c r="O1626" s="35"/>
      <c r="P1626" s="35"/>
      <c r="Q1626" s="35"/>
      <c r="R1626" s="35"/>
    </row>
    <row r="1627" spans="6:18" ht="9.9499999999999993" customHeight="1">
      <c r="F1627" s="35"/>
      <c r="G1627" s="35"/>
      <c r="H1627" s="35"/>
      <c r="I1627" s="35"/>
      <c r="J1627" s="35"/>
      <c r="K1627" s="35"/>
      <c r="L1627" s="35"/>
      <c r="M1627" s="35"/>
      <c r="N1627" s="35"/>
      <c r="O1627" s="35"/>
      <c r="P1627" s="35"/>
      <c r="Q1627" s="35"/>
      <c r="R1627" s="35"/>
    </row>
    <row r="1628" spans="6:18" ht="9.9499999999999993" customHeight="1">
      <c r="F1628" s="35"/>
      <c r="G1628" s="35"/>
      <c r="H1628" s="35"/>
      <c r="I1628" s="35"/>
      <c r="J1628" s="35"/>
      <c r="K1628" s="35"/>
      <c r="L1628" s="35"/>
      <c r="M1628" s="35"/>
      <c r="N1628" s="35"/>
      <c r="O1628" s="35"/>
      <c r="P1628" s="35"/>
      <c r="Q1628" s="35"/>
      <c r="R1628" s="35"/>
    </row>
    <row r="1629" spans="6:18" ht="9.9499999999999993" customHeight="1">
      <c r="F1629" s="35"/>
      <c r="G1629" s="35"/>
      <c r="H1629" s="35"/>
      <c r="I1629" s="35"/>
      <c r="J1629" s="35"/>
      <c r="K1629" s="35"/>
      <c r="L1629" s="35"/>
      <c r="M1629" s="35"/>
      <c r="N1629" s="35"/>
      <c r="O1629" s="35"/>
      <c r="P1629" s="35"/>
      <c r="Q1629" s="35"/>
      <c r="R1629" s="35"/>
    </row>
    <row r="1630" spans="6:18" ht="9.9499999999999993" customHeight="1">
      <c r="F1630" s="35"/>
      <c r="G1630" s="35"/>
      <c r="H1630" s="35"/>
      <c r="I1630" s="35"/>
      <c r="J1630" s="35"/>
      <c r="K1630" s="35"/>
      <c r="L1630" s="35"/>
      <c r="M1630" s="35"/>
      <c r="N1630" s="35"/>
      <c r="O1630" s="35"/>
      <c r="P1630" s="35"/>
      <c r="Q1630" s="35"/>
      <c r="R1630" s="35"/>
    </row>
    <row r="1631" spans="6:18" ht="9.9499999999999993" customHeight="1">
      <c r="F1631" s="35"/>
      <c r="G1631" s="35"/>
      <c r="H1631" s="35"/>
      <c r="I1631" s="35"/>
      <c r="J1631" s="35"/>
      <c r="K1631" s="35"/>
      <c r="L1631" s="35"/>
      <c r="M1631" s="35"/>
      <c r="N1631" s="35"/>
      <c r="O1631" s="35"/>
      <c r="P1631" s="35"/>
      <c r="Q1631" s="35"/>
      <c r="R1631" s="35"/>
    </row>
    <row r="1632" spans="6:18" ht="9.9499999999999993" customHeight="1">
      <c r="F1632" s="35"/>
      <c r="G1632" s="35"/>
      <c r="H1632" s="35"/>
      <c r="I1632" s="35"/>
      <c r="J1632" s="35"/>
      <c r="K1632" s="35"/>
      <c r="L1632" s="35"/>
      <c r="M1632" s="35"/>
      <c r="N1632" s="35"/>
      <c r="O1632" s="35"/>
      <c r="P1632" s="35"/>
      <c r="Q1632" s="35"/>
      <c r="R1632" s="35"/>
    </row>
    <row r="1633" spans="6:18" ht="9.9499999999999993" customHeight="1">
      <c r="F1633" s="35"/>
      <c r="G1633" s="35"/>
      <c r="H1633" s="35"/>
      <c r="I1633" s="35"/>
      <c r="J1633" s="35"/>
      <c r="K1633" s="35"/>
      <c r="L1633" s="35"/>
      <c r="M1633" s="35"/>
      <c r="N1633" s="35"/>
      <c r="O1633" s="35"/>
      <c r="P1633" s="35"/>
      <c r="Q1633" s="35"/>
      <c r="R1633" s="35"/>
    </row>
    <row r="1634" spans="6:18" ht="9.9499999999999993" customHeight="1">
      <c r="F1634" s="35"/>
      <c r="G1634" s="35"/>
      <c r="H1634" s="35"/>
      <c r="I1634" s="35"/>
      <c r="J1634" s="35"/>
      <c r="K1634" s="35"/>
      <c r="L1634" s="35"/>
      <c r="M1634" s="35"/>
      <c r="N1634" s="35"/>
      <c r="O1634" s="35"/>
      <c r="P1634" s="35"/>
      <c r="Q1634" s="35"/>
      <c r="R1634" s="35"/>
    </row>
    <row r="1635" spans="6:18" ht="9.9499999999999993" customHeight="1">
      <c r="F1635" s="35"/>
      <c r="G1635" s="35"/>
      <c r="H1635" s="35"/>
      <c r="I1635" s="35"/>
      <c r="J1635" s="35"/>
      <c r="K1635" s="35"/>
      <c r="L1635" s="35"/>
      <c r="M1635" s="35"/>
      <c r="N1635" s="35"/>
      <c r="O1635" s="35"/>
      <c r="P1635" s="35"/>
      <c r="Q1635" s="35"/>
      <c r="R1635" s="35"/>
    </row>
    <row r="1636" spans="6:18" ht="9.9499999999999993" customHeight="1">
      <c r="F1636" s="35"/>
      <c r="G1636" s="35"/>
      <c r="H1636" s="35"/>
      <c r="I1636" s="35"/>
      <c r="J1636" s="35"/>
      <c r="K1636" s="35"/>
      <c r="L1636" s="35"/>
      <c r="M1636" s="35"/>
      <c r="N1636" s="35"/>
      <c r="O1636" s="35"/>
      <c r="P1636" s="35"/>
      <c r="Q1636" s="35"/>
      <c r="R1636" s="35"/>
    </row>
    <row r="1637" spans="6:18" ht="9.9499999999999993" customHeight="1">
      <c r="F1637" s="35"/>
      <c r="G1637" s="35"/>
      <c r="H1637" s="35"/>
      <c r="I1637" s="35"/>
      <c r="J1637" s="35"/>
      <c r="K1637" s="35"/>
      <c r="L1637" s="35"/>
      <c r="M1637" s="35"/>
      <c r="N1637" s="35"/>
      <c r="O1637" s="35"/>
      <c r="P1637" s="35"/>
      <c r="Q1637" s="35"/>
      <c r="R1637" s="35"/>
    </row>
    <row r="1638" spans="6:18" ht="9.9499999999999993" customHeight="1">
      <c r="F1638" s="35"/>
      <c r="G1638" s="35"/>
      <c r="H1638" s="35"/>
      <c r="I1638" s="35"/>
      <c r="J1638" s="35"/>
      <c r="K1638" s="35"/>
      <c r="L1638" s="35"/>
      <c r="M1638" s="35"/>
      <c r="N1638" s="35"/>
      <c r="O1638" s="35"/>
      <c r="P1638" s="35"/>
      <c r="Q1638" s="35"/>
      <c r="R1638" s="35"/>
    </row>
    <row r="1639" spans="6:18" ht="9.9499999999999993" customHeight="1">
      <c r="F1639" s="35"/>
      <c r="G1639" s="35"/>
      <c r="H1639" s="35"/>
      <c r="I1639" s="35"/>
      <c r="J1639" s="35"/>
      <c r="K1639" s="35"/>
      <c r="L1639" s="35"/>
      <c r="M1639" s="35"/>
      <c r="N1639" s="35"/>
      <c r="O1639" s="35"/>
      <c r="P1639" s="35"/>
      <c r="Q1639" s="35"/>
      <c r="R1639" s="35"/>
    </row>
    <row r="1640" spans="6:18" ht="9.9499999999999993" customHeight="1">
      <c r="F1640" s="35"/>
      <c r="G1640" s="35"/>
      <c r="H1640" s="35"/>
      <c r="I1640" s="35"/>
      <c r="J1640" s="35"/>
      <c r="K1640" s="35"/>
      <c r="L1640" s="35"/>
      <c r="M1640" s="35"/>
      <c r="N1640" s="35"/>
      <c r="O1640" s="35"/>
      <c r="P1640" s="35"/>
      <c r="Q1640" s="35"/>
      <c r="R1640" s="35"/>
    </row>
    <row r="1641" spans="6:18" ht="9.9499999999999993" customHeight="1">
      <c r="F1641" s="35"/>
      <c r="G1641" s="35"/>
      <c r="H1641" s="35"/>
      <c r="I1641" s="35"/>
      <c r="J1641" s="35"/>
      <c r="K1641" s="35"/>
      <c r="L1641" s="35"/>
      <c r="M1641" s="35"/>
      <c r="N1641" s="35"/>
      <c r="O1641" s="35"/>
      <c r="P1641" s="35"/>
      <c r="Q1641" s="35"/>
      <c r="R1641" s="35"/>
    </row>
    <row r="1642" spans="6:18" ht="9.9499999999999993" customHeight="1">
      <c r="F1642" s="35"/>
      <c r="G1642" s="35"/>
      <c r="H1642" s="35"/>
      <c r="I1642" s="35"/>
      <c r="J1642" s="35"/>
      <c r="K1642" s="35"/>
      <c r="L1642" s="35"/>
      <c r="M1642" s="35"/>
      <c r="N1642" s="35"/>
      <c r="O1642" s="35"/>
      <c r="P1642" s="35"/>
      <c r="Q1642" s="35"/>
      <c r="R1642" s="35"/>
    </row>
    <row r="1643" spans="6:18" ht="9.9499999999999993" customHeight="1">
      <c r="F1643" s="35"/>
      <c r="G1643" s="35"/>
      <c r="H1643" s="35"/>
      <c r="I1643" s="35"/>
      <c r="J1643" s="35"/>
      <c r="K1643" s="35"/>
      <c r="L1643" s="35"/>
      <c r="M1643" s="35"/>
      <c r="N1643" s="35"/>
      <c r="O1643" s="35"/>
      <c r="P1643" s="35"/>
      <c r="Q1643" s="35"/>
      <c r="R1643" s="35"/>
    </row>
    <row r="1644" spans="6:18" ht="9.9499999999999993" customHeight="1">
      <c r="F1644" s="35"/>
      <c r="G1644" s="35"/>
      <c r="H1644" s="35"/>
      <c r="I1644" s="35"/>
      <c r="J1644" s="35"/>
      <c r="K1644" s="35"/>
      <c r="L1644" s="35"/>
      <c r="M1644" s="35"/>
      <c r="N1644" s="35"/>
      <c r="O1644" s="35"/>
      <c r="P1644" s="35"/>
      <c r="Q1644" s="35"/>
      <c r="R1644" s="35"/>
    </row>
    <row r="1645" spans="6:18" ht="9.9499999999999993" customHeight="1">
      <c r="F1645" s="35"/>
      <c r="G1645" s="35"/>
      <c r="H1645" s="35"/>
      <c r="I1645" s="35"/>
      <c r="J1645" s="35"/>
      <c r="K1645" s="35"/>
      <c r="L1645" s="35"/>
      <c r="M1645" s="35"/>
      <c r="N1645" s="35"/>
      <c r="O1645" s="35"/>
      <c r="P1645" s="35"/>
      <c r="Q1645" s="35"/>
      <c r="R1645" s="35"/>
    </row>
    <row r="1646" spans="6:18" ht="9.9499999999999993" customHeight="1">
      <c r="F1646" s="35"/>
      <c r="G1646" s="35"/>
      <c r="H1646" s="35"/>
      <c r="I1646" s="35"/>
      <c r="J1646" s="35"/>
      <c r="K1646" s="35"/>
      <c r="L1646" s="35"/>
      <c r="M1646" s="35"/>
      <c r="N1646" s="35"/>
      <c r="O1646" s="35"/>
      <c r="P1646" s="35"/>
      <c r="Q1646" s="35"/>
      <c r="R1646" s="35"/>
    </row>
    <row r="1647" spans="6:18" ht="9.9499999999999993" customHeight="1">
      <c r="F1647" s="35"/>
      <c r="G1647" s="35"/>
      <c r="H1647" s="35"/>
      <c r="I1647" s="35"/>
      <c r="J1647" s="35"/>
      <c r="K1647" s="35"/>
      <c r="L1647" s="35"/>
      <c r="M1647" s="35"/>
      <c r="N1647" s="35"/>
      <c r="O1647" s="35"/>
      <c r="P1647" s="35"/>
      <c r="Q1647" s="35"/>
      <c r="R1647" s="35"/>
    </row>
    <row r="1648" spans="6:18" ht="9.9499999999999993" customHeight="1">
      <c r="F1648" s="35"/>
      <c r="G1648" s="35"/>
      <c r="H1648" s="35"/>
      <c r="I1648" s="35"/>
      <c r="J1648" s="35"/>
      <c r="K1648" s="35"/>
      <c r="L1648" s="35"/>
      <c r="M1648" s="35"/>
      <c r="N1648" s="35"/>
      <c r="O1648" s="35"/>
      <c r="P1648" s="35"/>
      <c r="Q1648" s="35"/>
      <c r="R1648" s="35"/>
    </row>
    <row r="1649" spans="6:18" ht="9.9499999999999993" customHeight="1">
      <c r="F1649" s="35"/>
      <c r="G1649" s="35"/>
      <c r="H1649" s="35"/>
      <c r="I1649" s="35"/>
      <c r="J1649" s="35"/>
      <c r="K1649" s="35"/>
      <c r="L1649" s="35"/>
      <c r="M1649" s="35"/>
      <c r="N1649" s="35"/>
      <c r="O1649" s="35"/>
      <c r="P1649" s="35"/>
      <c r="Q1649" s="35"/>
      <c r="R1649" s="35"/>
    </row>
    <row r="1650" spans="6:18" ht="9.9499999999999993" customHeight="1">
      <c r="F1650" s="35"/>
      <c r="G1650" s="35"/>
      <c r="H1650" s="35"/>
      <c r="I1650" s="35"/>
      <c r="J1650" s="35"/>
      <c r="K1650" s="35"/>
      <c r="L1650" s="35"/>
      <c r="M1650" s="35"/>
      <c r="N1650" s="35"/>
      <c r="O1650" s="35"/>
      <c r="P1650" s="35"/>
      <c r="Q1650" s="35"/>
      <c r="R1650" s="35"/>
    </row>
    <row r="1651" spans="6:18" ht="9.9499999999999993" customHeight="1">
      <c r="F1651" s="35"/>
      <c r="G1651" s="35"/>
      <c r="H1651" s="35"/>
      <c r="I1651" s="35"/>
      <c r="J1651" s="35"/>
      <c r="K1651" s="35"/>
      <c r="L1651" s="35"/>
      <c r="M1651" s="35"/>
      <c r="N1651" s="35"/>
      <c r="O1651" s="35"/>
      <c r="P1651" s="35"/>
      <c r="Q1651" s="35"/>
      <c r="R1651" s="35"/>
    </row>
    <row r="1652" spans="6:18" ht="9.9499999999999993" customHeight="1">
      <c r="F1652" s="35"/>
      <c r="G1652" s="35"/>
      <c r="H1652" s="35"/>
      <c r="I1652" s="35"/>
      <c r="J1652" s="35"/>
      <c r="K1652" s="35"/>
      <c r="L1652" s="35"/>
      <c r="M1652" s="35"/>
      <c r="N1652" s="35"/>
      <c r="O1652" s="35"/>
      <c r="P1652" s="35"/>
      <c r="Q1652" s="35"/>
      <c r="R1652" s="35"/>
    </row>
    <row r="1653" spans="6:18" ht="9.9499999999999993" customHeight="1">
      <c r="F1653" s="35"/>
      <c r="G1653" s="35"/>
      <c r="H1653" s="35"/>
      <c r="I1653" s="35"/>
      <c r="J1653" s="35"/>
      <c r="K1653" s="35"/>
      <c r="L1653" s="35"/>
      <c r="M1653" s="35"/>
      <c r="N1653" s="35"/>
      <c r="O1653" s="35"/>
      <c r="P1653" s="35"/>
      <c r="Q1653" s="35"/>
      <c r="R1653" s="35"/>
    </row>
    <row r="1654" spans="6:18" ht="9.9499999999999993" customHeight="1">
      <c r="F1654" s="35"/>
      <c r="G1654" s="35"/>
      <c r="H1654" s="35"/>
      <c r="I1654" s="35"/>
      <c r="J1654" s="35"/>
      <c r="K1654" s="35"/>
      <c r="L1654" s="35"/>
      <c r="M1654" s="35"/>
      <c r="N1654" s="35"/>
      <c r="O1654" s="35"/>
      <c r="P1654" s="35"/>
      <c r="Q1654" s="35"/>
      <c r="R1654" s="35"/>
    </row>
    <row r="1655" spans="6:18" ht="9.9499999999999993" customHeight="1">
      <c r="F1655" s="35"/>
      <c r="G1655" s="35"/>
      <c r="H1655" s="35"/>
      <c r="I1655" s="35"/>
      <c r="J1655" s="35"/>
      <c r="K1655" s="35"/>
      <c r="L1655" s="35"/>
      <c r="M1655" s="35"/>
      <c r="N1655" s="35"/>
      <c r="O1655" s="35"/>
      <c r="P1655" s="35"/>
      <c r="Q1655" s="35"/>
      <c r="R1655" s="35"/>
    </row>
    <row r="1656" spans="6:18" ht="9.9499999999999993" customHeight="1">
      <c r="F1656" s="35"/>
      <c r="G1656" s="35"/>
      <c r="H1656" s="35"/>
      <c r="I1656" s="35"/>
      <c r="J1656" s="35"/>
      <c r="K1656" s="35"/>
      <c r="L1656" s="35"/>
      <c r="M1656" s="35"/>
      <c r="N1656" s="35"/>
      <c r="O1656" s="35"/>
      <c r="P1656" s="35"/>
      <c r="Q1656" s="35"/>
      <c r="R1656" s="35"/>
    </row>
    <row r="1657" spans="6:18" ht="9.9499999999999993" customHeight="1">
      <c r="F1657" s="35"/>
      <c r="G1657" s="35"/>
      <c r="H1657" s="35"/>
      <c r="I1657" s="35"/>
      <c r="J1657" s="35"/>
      <c r="K1657" s="35"/>
      <c r="L1657" s="35"/>
      <c r="M1657" s="35"/>
      <c r="N1657" s="35"/>
      <c r="O1657" s="35"/>
      <c r="P1657" s="35"/>
      <c r="Q1657" s="35"/>
      <c r="R1657" s="35"/>
    </row>
    <row r="1658" spans="6:18" ht="9.9499999999999993" customHeight="1">
      <c r="F1658" s="35"/>
      <c r="G1658" s="35"/>
      <c r="H1658" s="35"/>
      <c r="I1658" s="35"/>
      <c r="J1658" s="35"/>
      <c r="K1658" s="35"/>
      <c r="L1658" s="35"/>
      <c r="M1658" s="35"/>
      <c r="N1658" s="35"/>
      <c r="O1658" s="35"/>
      <c r="P1658" s="35"/>
      <c r="Q1658" s="35"/>
      <c r="R1658" s="35"/>
    </row>
    <row r="1659" spans="6:18" ht="9.9499999999999993" customHeight="1">
      <c r="F1659" s="35"/>
      <c r="G1659" s="35"/>
      <c r="H1659" s="35"/>
      <c r="I1659" s="35"/>
      <c r="J1659" s="35"/>
      <c r="K1659" s="35"/>
      <c r="L1659" s="35"/>
      <c r="M1659" s="35"/>
      <c r="N1659" s="35"/>
      <c r="O1659" s="35"/>
      <c r="P1659" s="35"/>
      <c r="Q1659" s="35"/>
      <c r="R1659" s="35"/>
    </row>
    <row r="1660" spans="6:18" ht="9.9499999999999993" customHeight="1">
      <c r="F1660" s="35"/>
      <c r="G1660" s="35"/>
      <c r="H1660" s="35"/>
      <c r="I1660" s="35"/>
      <c r="J1660" s="35"/>
      <c r="K1660" s="35"/>
      <c r="L1660" s="35"/>
      <c r="M1660" s="35"/>
      <c r="N1660" s="35"/>
      <c r="O1660" s="35"/>
      <c r="P1660" s="35"/>
      <c r="Q1660" s="35"/>
      <c r="R1660" s="35"/>
    </row>
    <row r="1661" spans="6:18" ht="9.9499999999999993" customHeight="1">
      <c r="F1661" s="35"/>
      <c r="G1661" s="35"/>
      <c r="H1661" s="35"/>
      <c r="I1661" s="35"/>
      <c r="J1661" s="35"/>
      <c r="K1661" s="35"/>
      <c r="L1661" s="35"/>
      <c r="M1661" s="35"/>
      <c r="N1661" s="35"/>
      <c r="O1661" s="35"/>
      <c r="P1661" s="35"/>
      <c r="Q1661" s="35"/>
      <c r="R1661" s="35"/>
    </row>
    <row r="1662" spans="6:18" ht="9.9499999999999993" customHeight="1">
      <c r="F1662" s="35"/>
      <c r="G1662" s="35"/>
      <c r="H1662" s="35"/>
      <c r="I1662" s="35"/>
      <c r="J1662" s="35"/>
      <c r="K1662" s="35"/>
      <c r="L1662" s="35"/>
      <c r="M1662" s="35"/>
      <c r="N1662" s="35"/>
      <c r="O1662" s="35"/>
      <c r="P1662" s="35"/>
      <c r="Q1662" s="35"/>
      <c r="R1662" s="35"/>
    </row>
    <row r="1663" spans="6:18" ht="9.9499999999999993" customHeight="1">
      <c r="F1663" s="35"/>
      <c r="G1663" s="35"/>
      <c r="H1663" s="35"/>
      <c r="I1663" s="35"/>
      <c r="J1663" s="35"/>
      <c r="K1663" s="35"/>
      <c r="L1663" s="35"/>
      <c r="M1663" s="35"/>
      <c r="N1663" s="35"/>
      <c r="O1663" s="35"/>
      <c r="P1663" s="35"/>
      <c r="Q1663" s="35"/>
      <c r="R1663" s="35"/>
    </row>
    <row r="1664" spans="6:18" ht="9.9499999999999993" customHeight="1">
      <c r="F1664" s="35"/>
      <c r="G1664" s="35"/>
      <c r="H1664" s="35"/>
      <c r="I1664" s="35"/>
      <c r="J1664" s="35"/>
      <c r="K1664" s="35"/>
      <c r="L1664" s="35"/>
      <c r="M1664" s="35"/>
      <c r="N1664" s="35"/>
      <c r="O1664" s="35"/>
      <c r="P1664" s="35"/>
      <c r="Q1664" s="35"/>
      <c r="R1664" s="35"/>
    </row>
    <row r="1665" spans="6:18" ht="9.9499999999999993" customHeight="1">
      <c r="F1665" s="35"/>
      <c r="G1665" s="35"/>
      <c r="H1665" s="35"/>
      <c r="I1665" s="35"/>
      <c r="J1665" s="35"/>
      <c r="K1665" s="35"/>
      <c r="L1665" s="35"/>
      <c r="M1665" s="35"/>
      <c r="N1665" s="35"/>
      <c r="O1665" s="35"/>
      <c r="P1665" s="35"/>
      <c r="Q1665" s="35"/>
      <c r="R1665" s="35"/>
    </row>
    <row r="1666" spans="6:18" ht="9.9499999999999993" customHeight="1">
      <c r="F1666" s="35"/>
      <c r="G1666" s="35"/>
      <c r="H1666" s="35"/>
      <c r="I1666" s="35"/>
      <c r="J1666" s="35"/>
      <c r="K1666" s="35"/>
      <c r="L1666" s="35"/>
      <c r="M1666" s="35"/>
      <c r="N1666" s="35"/>
      <c r="O1666" s="35"/>
      <c r="P1666" s="35"/>
      <c r="Q1666" s="35"/>
      <c r="R1666" s="35"/>
    </row>
    <row r="1667" spans="6:18" ht="9.9499999999999993" customHeight="1">
      <c r="F1667" s="35"/>
      <c r="G1667" s="35"/>
      <c r="H1667" s="35"/>
      <c r="I1667" s="35"/>
      <c r="J1667" s="35"/>
      <c r="K1667" s="35"/>
      <c r="L1667" s="35"/>
      <c r="M1667" s="35"/>
      <c r="N1667" s="35"/>
      <c r="O1667" s="35"/>
      <c r="P1667" s="35"/>
      <c r="Q1667" s="35"/>
      <c r="R1667" s="35"/>
    </row>
    <row r="1668" spans="6:18" ht="9.9499999999999993" customHeight="1">
      <c r="F1668" s="35"/>
      <c r="G1668" s="35"/>
      <c r="H1668" s="35"/>
      <c r="I1668" s="35"/>
      <c r="J1668" s="35"/>
      <c r="K1668" s="35"/>
      <c r="L1668" s="35"/>
      <c r="M1668" s="35"/>
      <c r="N1668" s="35"/>
      <c r="O1668" s="35"/>
      <c r="P1668" s="35"/>
      <c r="Q1668" s="35"/>
      <c r="R1668" s="35"/>
    </row>
    <row r="1669" spans="6:18" ht="9.9499999999999993" customHeight="1">
      <c r="F1669" s="35"/>
      <c r="G1669" s="35"/>
      <c r="H1669" s="35"/>
      <c r="I1669" s="35"/>
      <c r="J1669" s="35"/>
      <c r="K1669" s="35"/>
      <c r="L1669" s="35"/>
      <c r="M1669" s="35"/>
      <c r="N1669" s="35"/>
      <c r="O1669" s="35"/>
      <c r="P1669" s="35"/>
      <c r="Q1669" s="35"/>
      <c r="R1669" s="35"/>
    </row>
    <row r="1670" spans="6:18" ht="9.9499999999999993" customHeight="1">
      <c r="F1670" s="35"/>
      <c r="G1670" s="35"/>
      <c r="H1670" s="35"/>
      <c r="I1670" s="35"/>
      <c r="J1670" s="35"/>
      <c r="K1670" s="35"/>
      <c r="L1670" s="35"/>
      <c r="M1670" s="35"/>
      <c r="N1670" s="35"/>
      <c r="O1670" s="35"/>
      <c r="P1670" s="35"/>
      <c r="Q1670" s="35"/>
      <c r="R1670" s="35"/>
    </row>
    <row r="1671" spans="6:18" ht="9.9499999999999993" customHeight="1">
      <c r="F1671" s="35"/>
      <c r="G1671" s="35"/>
      <c r="H1671" s="35"/>
      <c r="I1671" s="35"/>
      <c r="J1671" s="35"/>
      <c r="K1671" s="35"/>
      <c r="L1671" s="35"/>
      <c r="M1671" s="35"/>
      <c r="N1671" s="35"/>
      <c r="O1671" s="35"/>
      <c r="P1671" s="35"/>
      <c r="Q1671" s="35"/>
      <c r="R1671" s="35"/>
    </row>
    <row r="1672" spans="6:18" ht="9.9499999999999993" customHeight="1">
      <c r="F1672" s="35"/>
      <c r="G1672" s="35"/>
      <c r="H1672" s="35"/>
      <c r="I1672" s="35"/>
      <c r="J1672" s="35"/>
      <c r="K1672" s="35"/>
      <c r="L1672" s="35"/>
      <c r="M1672" s="35"/>
      <c r="N1672" s="35"/>
      <c r="O1672" s="35"/>
      <c r="P1672" s="35"/>
      <c r="Q1672" s="35"/>
      <c r="R1672" s="35"/>
    </row>
    <row r="1673" spans="6:18" ht="9.9499999999999993" customHeight="1">
      <c r="F1673" s="35"/>
      <c r="G1673" s="35"/>
      <c r="H1673" s="35"/>
      <c r="I1673" s="35"/>
      <c r="J1673" s="35"/>
      <c r="K1673" s="35"/>
      <c r="L1673" s="35"/>
      <c r="M1673" s="35"/>
      <c r="N1673" s="35"/>
      <c r="O1673" s="35"/>
      <c r="P1673" s="35"/>
      <c r="Q1673" s="35"/>
      <c r="R1673" s="35"/>
    </row>
  </sheetData>
  <mergeCells count="4">
    <mergeCell ref="B7:O7"/>
    <mergeCell ref="B8:O8"/>
    <mergeCell ref="B9:O9"/>
    <mergeCell ref="D10:F10"/>
  </mergeCells>
  <printOptions horizontalCentered="1"/>
  <pageMargins left="0.25" right="0.25" top="0.36" bottom="0.64" header="0.3" footer="0.3"/>
  <pageSetup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egendSht"/>
  <dimension ref="A1:Q36"/>
  <sheetViews>
    <sheetView workbookViewId="0">
      <selection activeCell="E5" sqref="E1:E8"/>
    </sheetView>
  </sheetViews>
  <sheetFormatPr defaultRowHeight="15"/>
  <cols>
    <col min="1" max="1" width="16.5703125" customWidth="1"/>
    <col min="2" max="2" width="19" customWidth="1"/>
    <col min="3" max="3" width="9.140625" style="11"/>
    <col min="8" max="8" width="16.5703125" style="11" bestFit="1" customWidth="1"/>
    <col min="9" max="9" width="8.42578125" customWidth="1"/>
    <col min="10" max="10" width="7.5703125" style="11" customWidth="1"/>
    <col min="11" max="11" width="14" style="11" bestFit="1" customWidth="1"/>
    <col min="13" max="13" width="13.140625" bestFit="1" customWidth="1"/>
    <col min="15" max="15" width="7.85546875" style="11" customWidth="1"/>
    <col min="16" max="16" width="11.85546875" style="11" bestFit="1" customWidth="1"/>
    <col min="17" max="17" width="13.140625" style="11" customWidth="1"/>
  </cols>
  <sheetData>
    <row r="1" spans="1:17">
      <c r="A1" t="s">
        <v>48</v>
      </c>
      <c r="B1" t="s">
        <v>1</v>
      </c>
      <c r="H1" s="8" t="s">
        <v>48</v>
      </c>
      <c r="I1" s="8" t="s">
        <v>1</v>
      </c>
      <c r="J1"/>
      <c r="K1" s="8" t="s">
        <v>11</v>
      </c>
      <c r="M1" s="8" t="s">
        <v>3</v>
      </c>
      <c r="O1" s="8" t="s">
        <v>6</v>
      </c>
      <c r="P1"/>
      <c r="Q1" s="8" t="s">
        <v>10</v>
      </c>
    </row>
    <row r="2" spans="1:17">
      <c r="A2" s="1" t="s">
        <v>95</v>
      </c>
      <c r="B2" s="2" t="s">
        <v>49</v>
      </c>
      <c r="C2" s="5"/>
      <c r="H2" s="11" t="s">
        <v>96</v>
      </c>
      <c r="I2" s="11" t="s">
        <v>50</v>
      </c>
      <c r="J2"/>
      <c r="K2" s="11">
        <f>COUNTA(I2:I27)</f>
        <v>2</v>
      </c>
      <c r="M2" s="37">
        <v>10</v>
      </c>
      <c r="O2" s="11" t="s">
        <v>55</v>
      </c>
      <c r="P2"/>
      <c r="Q2" s="12">
        <f>COUNTA(O1:O66)-1</f>
        <v>34</v>
      </c>
    </row>
    <row r="3" spans="1:17">
      <c r="A3" s="39" t="s">
        <v>96</v>
      </c>
      <c r="B3" s="39" t="s">
        <v>50</v>
      </c>
      <c r="C3" s="5"/>
      <c r="H3" s="11" t="s">
        <v>97</v>
      </c>
      <c r="I3" s="11" t="s">
        <v>51</v>
      </c>
      <c r="J3"/>
      <c r="M3" s="37">
        <v>25</v>
      </c>
      <c r="O3" s="11" t="s">
        <v>62</v>
      </c>
      <c r="P3"/>
      <c r="Q3" s="12"/>
    </row>
    <row r="4" spans="1:17">
      <c r="A4" s="39" t="s">
        <v>97</v>
      </c>
      <c r="B4" s="39" t="s">
        <v>51</v>
      </c>
      <c r="C4" s="5"/>
      <c r="H4"/>
      <c r="J4"/>
      <c r="M4" s="37">
        <v>50</v>
      </c>
      <c r="O4" s="11" t="s">
        <v>63</v>
      </c>
      <c r="P4"/>
      <c r="Q4" s="12"/>
    </row>
    <row r="5" spans="1:17">
      <c r="A5" s="39" t="s">
        <v>98</v>
      </c>
      <c r="B5" s="39" t="s">
        <v>52</v>
      </c>
      <c r="C5" s="5"/>
      <c r="H5"/>
      <c r="J5"/>
      <c r="M5" s="37">
        <v>75</v>
      </c>
      <c r="O5" s="11" t="s">
        <v>64</v>
      </c>
      <c r="P5"/>
      <c r="Q5" s="12"/>
    </row>
    <row r="6" spans="1:17">
      <c r="A6" s="39" t="s">
        <v>99</v>
      </c>
      <c r="B6" s="39" t="s">
        <v>53</v>
      </c>
      <c r="C6" s="5"/>
      <c r="H6"/>
      <c r="J6"/>
      <c r="M6" s="37">
        <v>100</v>
      </c>
      <c r="O6" s="11" t="s">
        <v>65</v>
      </c>
      <c r="P6"/>
      <c r="Q6" s="12"/>
    </row>
    <row r="7" spans="1:17">
      <c r="A7" s="39"/>
      <c r="B7" s="39"/>
      <c r="C7" s="5"/>
      <c r="H7"/>
      <c r="J7"/>
      <c r="M7" s="37">
        <v>150</v>
      </c>
      <c r="O7" s="11" t="s">
        <v>66</v>
      </c>
      <c r="P7"/>
    </row>
    <row r="8" spans="1:17">
      <c r="A8" s="2"/>
      <c r="B8" s="2"/>
      <c r="C8" s="5"/>
      <c r="H8"/>
      <c r="J8"/>
      <c r="M8" s="37">
        <v>200</v>
      </c>
      <c r="O8" s="11" t="s">
        <v>67</v>
      </c>
      <c r="P8"/>
    </row>
    <row r="9" spans="1:17">
      <c r="A9" s="2"/>
      <c r="B9" s="2"/>
      <c r="C9" s="5"/>
      <c r="H9"/>
      <c r="J9"/>
      <c r="O9" s="11" t="s">
        <v>68</v>
      </c>
      <c r="P9"/>
    </row>
    <row r="10" spans="1:17">
      <c r="A10" s="2"/>
      <c r="B10" s="2"/>
      <c r="C10" s="5"/>
      <c r="H10"/>
      <c r="J10"/>
      <c r="O10" s="11" t="s">
        <v>69</v>
      </c>
      <c r="P10"/>
    </row>
    <row r="11" spans="1:17">
      <c r="A11" s="2"/>
      <c r="B11" s="2"/>
      <c r="C11" s="5"/>
      <c r="H11"/>
      <c r="J11"/>
      <c r="O11" s="11" t="s">
        <v>70</v>
      </c>
      <c r="P11"/>
    </row>
    <row r="12" spans="1:17">
      <c r="A12" s="2"/>
      <c r="B12" s="2"/>
      <c r="C12" s="5"/>
      <c r="H12"/>
      <c r="J12"/>
      <c r="O12" s="11" t="s">
        <v>71</v>
      </c>
      <c r="P12"/>
    </row>
    <row r="13" spans="1:17">
      <c r="A13" s="3"/>
      <c r="H13"/>
      <c r="J13"/>
      <c r="O13" s="11" t="s">
        <v>72</v>
      </c>
      <c r="P13"/>
    </row>
    <row r="14" spans="1:17">
      <c r="A14" s="3"/>
      <c r="H14"/>
      <c r="J14"/>
      <c r="O14" s="11" t="s">
        <v>73</v>
      </c>
      <c r="P14"/>
    </row>
    <row r="15" spans="1:17">
      <c r="A15" s="3"/>
      <c r="H15"/>
      <c r="J15"/>
      <c r="O15" s="11" t="s">
        <v>74</v>
      </c>
      <c r="P15"/>
    </row>
    <row r="16" spans="1:17">
      <c r="H16"/>
      <c r="J16"/>
      <c r="O16" s="11" t="s">
        <v>75</v>
      </c>
      <c r="P16"/>
    </row>
    <row r="17" spans="8:16">
      <c r="H17"/>
      <c r="J17"/>
      <c r="O17" s="11" t="s">
        <v>76</v>
      </c>
      <c r="P17"/>
    </row>
    <row r="18" spans="8:16">
      <c r="H18"/>
      <c r="J18"/>
      <c r="O18" s="11" t="s">
        <v>77</v>
      </c>
      <c r="P18"/>
    </row>
    <row r="19" spans="8:16">
      <c r="O19" s="11" t="s">
        <v>78</v>
      </c>
      <c r="P19"/>
    </row>
    <row r="20" spans="8:16">
      <c r="O20" s="11" t="s">
        <v>79</v>
      </c>
      <c r="P20"/>
    </row>
    <row r="21" spans="8:16">
      <c r="O21" s="11" t="s">
        <v>80</v>
      </c>
      <c r="P21"/>
    </row>
    <row r="22" spans="8:16">
      <c r="O22" s="11" t="s">
        <v>81</v>
      </c>
      <c r="P22"/>
    </row>
    <row r="23" spans="8:16">
      <c r="O23" s="11" t="s">
        <v>82</v>
      </c>
      <c r="P23"/>
    </row>
    <row r="24" spans="8:16">
      <c r="O24" s="11" t="s">
        <v>83</v>
      </c>
      <c r="P24"/>
    </row>
    <row r="25" spans="8:16">
      <c r="O25" s="11" t="s">
        <v>84</v>
      </c>
      <c r="P25"/>
    </row>
    <row r="26" spans="8:16">
      <c r="O26" s="11" t="s">
        <v>85</v>
      </c>
      <c r="P26"/>
    </row>
    <row r="27" spans="8:16">
      <c r="O27" s="11" t="s">
        <v>86</v>
      </c>
      <c r="P27"/>
    </row>
    <row r="28" spans="8:16">
      <c r="O28" s="11" t="s">
        <v>87</v>
      </c>
      <c r="P28"/>
    </row>
    <row r="29" spans="8:16">
      <c r="O29" s="11" t="s">
        <v>88</v>
      </c>
      <c r="P29"/>
    </row>
    <row r="30" spans="8:16">
      <c r="O30" s="11" t="s">
        <v>89</v>
      </c>
      <c r="P30"/>
    </row>
    <row r="31" spans="8:16">
      <c r="O31" s="11" t="s">
        <v>90</v>
      </c>
      <c r="P31"/>
    </row>
    <row r="32" spans="8:16">
      <c r="O32" s="11" t="s">
        <v>91</v>
      </c>
      <c r="P32"/>
    </row>
    <row r="33" spans="15:16">
      <c r="O33" s="11" t="s">
        <v>92</v>
      </c>
      <c r="P33"/>
    </row>
    <row r="34" spans="15:16">
      <c r="O34" s="11" t="s">
        <v>93</v>
      </c>
      <c r="P34"/>
    </row>
    <row r="35" spans="15:16">
      <c r="O35" s="11" t="s">
        <v>94</v>
      </c>
      <c r="P35"/>
    </row>
    <row r="36" spans="15:16">
      <c r="O36"/>
    </row>
  </sheetData>
  <pageMargins left="0.7" right="0.7" top="0.75" bottom="0.75" header="0.3" footer="0.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ingleLayoutSht"/>
  <dimension ref="A1:M14"/>
  <sheetViews>
    <sheetView workbookViewId="0">
      <selection activeCell="G15" sqref="G15"/>
    </sheetView>
  </sheetViews>
  <sheetFormatPr defaultRowHeight="15"/>
  <cols>
    <col min="1" max="1" width="16.85546875" customWidth="1"/>
    <col min="6" max="6" width="17.140625" customWidth="1"/>
    <col min="17" max="17" width="21" customWidth="1"/>
  </cols>
  <sheetData>
    <row r="1" spans="1:13">
      <c r="A1" t="s">
        <v>0</v>
      </c>
      <c r="B1" t="s">
        <v>94</v>
      </c>
    </row>
    <row r="2" spans="1:13" s="11" customFormat="1">
      <c r="A2" s="11" t="s">
        <v>100</v>
      </c>
      <c r="B2" s="11">
        <f>MATCH(B1,Tb_Prices[Code],0)</f>
        <v>34</v>
      </c>
    </row>
    <row r="3" spans="1:13" s="11" customFormat="1"/>
    <row r="4" spans="1:13" s="11" customFormat="1"/>
    <row r="5" spans="1:13">
      <c r="B5" t="str">
        <f>INDEX(Tb_Prices[Name],MATCH(B1,Tb_Prices[Code],0),1)</f>
        <v>Poetic Justice Women's Curvy Fit Black Vegan Leather Stretch Rayon Ponte Trouser Pant</v>
      </c>
    </row>
    <row r="6" spans="1:13">
      <c r="D6" t="s">
        <v>5</v>
      </c>
      <c r="F6" s="9" t="str">
        <f>IF(Legend!I2=0,BL,Legend!I2)</f>
        <v>Medium</v>
      </c>
      <c r="G6" s="9" t="str">
        <f>IF(Legend!I3=0,BL,Legend!I3)</f>
        <v>Large</v>
      </c>
      <c r="H6" s="9" t="str">
        <f>IF(Legend!I4=0,BL,Legend!I4)</f>
        <v/>
      </c>
      <c r="I6" s="9" t="str">
        <f>IF(Legend!I5=0,BL,Legend!I5)</f>
        <v/>
      </c>
      <c r="J6" s="9" t="str">
        <f>IF(Legend!I6=0,BL,Legend!I6)</f>
        <v/>
      </c>
      <c r="K6" s="9"/>
      <c r="L6" s="9"/>
      <c r="M6" s="9"/>
    </row>
    <row r="7" spans="1:13">
      <c r="D7">
        <f>IF(Legend!M2=0,BL,Legend!M2)</f>
        <v>10</v>
      </c>
      <c r="F7" s="10">
        <f>IFERROR(IF(OR(F$6=BL,$D7=BL),BL,INDEX(Tb_Prices[[Small]:[XX-Large]],SingleLayout!$B$2,MATCH(F$6,Pr_Sizes,0))*VLOOKUP($D7,Tb_Qtys[],2,FALSE)),"X")</f>
        <v>20.050398280606739</v>
      </c>
      <c r="G7" s="10">
        <f>IFERROR(IF(OR(G$6=BL,$D7=BL),BL,INDEX(Tb_Prices[[Small]:[XX-Large]],SingleLayout!$B$2,MATCH(G$6,Pr_Sizes,0))*VLOOKUP($D7,Tb_Qtys[],2,FALSE)),"X")</f>
        <v>23.65946997111595</v>
      </c>
      <c r="H7" s="10" t="str">
        <f>IFERROR(IF(OR(H$6=BL,$D7=BL),BL,INDEX(Tb_Prices[[Small]:[XX-Large]],SingleLayout!$B$2,MATCH(H$6,Pr_Sizes,0))*VLOOKUP($D7,Tb_Qtys[],2,FALSE)),"X")</f>
        <v/>
      </c>
      <c r="I7" s="10" t="str">
        <f>IFERROR(IF(OR(I$6=BL,$D7=BL),BL,INDEX(Tb_Prices[[Small]:[XX-Large]],SingleLayout!$B$2,MATCH(I$6,Pr_Sizes,0))*VLOOKUP($D7,Tb_Qtys[],2,FALSE)),"X")</f>
        <v/>
      </c>
      <c r="J7" s="10" t="str">
        <f>IFERROR(IF(OR(J$6=BL,$D7=BL),BL,INDEX(Tb_Prices[[Small]:[XX-Large]],SingleLayout!$B$2,MATCH(J$6,Pr_Sizes,0))*VLOOKUP($D7,Tb_Qtys[],2,FALSE)),"X")</f>
        <v/>
      </c>
      <c r="K7" s="10"/>
      <c r="L7" s="10"/>
      <c r="M7" s="10"/>
    </row>
    <row r="8" spans="1:13">
      <c r="D8">
        <f>IF(Legend!M3=0,BL,Legend!M3)</f>
        <v>25</v>
      </c>
      <c r="F8" s="10">
        <f>IFERROR(IF(OR(F$6=BL,$D8=BL),BL,INDEX(Tb_Prices[[Small]:[XX-Large]],SingleLayout!$B$2,MATCH(F$6,Pr_Sizes,0))*VLOOKUP($D8,Tb_Qtys[],2,FALSE)),"X")</f>
        <v>19.436610578139184</v>
      </c>
      <c r="G8" s="10">
        <f>IFERROR(IF(OR(G$6=BL,$D8=BL),BL,INDEX(Tb_Prices[[Small]:[XX-Large]],SingleLayout!$B$2,MATCH(G$6,Pr_Sizes,0))*VLOOKUP($D8,Tb_Qtys[],2,FALSE)),"X")</f>
        <v>22.935200482204237</v>
      </c>
      <c r="H8" s="10" t="str">
        <f>IFERROR(IF(OR(H$6=BL,$D8=BL),BL,INDEX(Tb_Prices[[Small]:[XX-Large]],SingleLayout!$B$2,MATCH(H$6,Pr_Sizes,0))*VLOOKUP($D8,Tb_Qtys[],2,FALSE)),"X")</f>
        <v/>
      </c>
      <c r="I8" s="10" t="str">
        <f>IFERROR(IF(OR(I$6=BL,$D8=BL),BL,INDEX(Tb_Prices[[Small]:[XX-Large]],SingleLayout!$B$2,MATCH(I$6,Pr_Sizes,0))*VLOOKUP($D8,Tb_Qtys[],2,FALSE)),"X")</f>
        <v/>
      </c>
      <c r="J8" s="10" t="str">
        <f>IFERROR(IF(OR(J$6=BL,$D8=BL),BL,INDEX(Tb_Prices[[Small]:[XX-Large]],SingleLayout!$B$2,MATCH(J$6,Pr_Sizes,0))*VLOOKUP($D8,Tb_Qtys[],2,FALSE)),"X")</f>
        <v/>
      </c>
      <c r="K8" s="10"/>
      <c r="L8" s="10"/>
      <c r="M8" s="10"/>
    </row>
    <row r="9" spans="1:13">
      <c r="D9">
        <f>IF(Legend!M4=0,BL,Legend!M4)</f>
        <v>50</v>
      </c>
      <c r="F9" s="10">
        <f>IFERROR(IF(OR(F$6=BL,$D9=BL),BL,INDEX(Tb_Prices[[Small]:[XX-Large]],SingleLayout!$B$2,MATCH(F$6,Pr_Sizes,0))*VLOOKUP($D9,Tb_Qtys[],2,FALSE)),"X")</f>
        <v>18.413631074026597</v>
      </c>
      <c r="G9" s="10">
        <f>IFERROR(IF(OR(G$6=BL,$D9=BL),BL,INDEX(Tb_Prices[[Small]:[XX-Large]],SingleLayout!$B$2,MATCH(G$6,Pr_Sizes,0))*VLOOKUP($D9,Tb_Qtys[],2,FALSE)),"X")</f>
        <v>21.728084667351386</v>
      </c>
      <c r="H9" s="10" t="str">
        <f>IFERROR(IF(OR(H$6=BL,$D9=BL),BL,INDEX(Tb_Prices[[Small]:[XX-Large]],SingleLayout!$B$2,MATCH(H$6,Pr_Sizes,0))*VLOOKUP($D9,Tb_Qtys[],2,FALSE)),"X")</f>
        <v/>
      </c>
      <c r="I9" s="10" t="str">
        <f>IFERROR(IF(OR(I$6=BL,$D9=BL),BL,INDEX(Tb_Prices[[Small]:[XX-Large]],SingleLayout!$B$2,MATCH(I$6,Pr_Sizes,0))*VLOOKUP($D9,Tb_Qtys[],2,FALSE)),"X")</f>
        <v/>
      </c>
      <c r="J9" s="10" t="str">
        <f>IFERROR(IF(OR(J$6=BL,$D9=BL),BL,INDEX(Tb_Prices[[Small]:[XX-Large]],SingleLayout!$B$2,MATCH(J$6,Pr_Sizes,0))*VLOOKUP($D9,Tb_Qtys[],2,FALSE)),"X")</f>
        <v/>
      </c>
      <c r="K9" s="10"/>
      <c r="L9" s="10"/>
      <c r="M9" s="10"/>
    </row>
    <row r="10" spans="1:13">
      <c r="D10">
        <f>IF(Legend!M5=0,BL,Legend!M5)</f>
        <v>75</v>
      </c>
      <c r="F10" s="10">
        <f>IFERROR(IF(OR(F$6=BL,$D10=BL),BL,INDEX(Tb_Prices[[Small]:[XX-Large]],SingleLayout!$B$2,MATCH(F$6,Pr_Sizes,0))*VLOOKUP($D10,Tb_Qtys[],2,FALSE)),"X")</f>
        <v>17.799843371559046</v>
      </c>
      <c r="G10" s="10">
        <f>IFERROR(IF(OR(G$6=BL,$D10=BL),BL,INDEX(Tb_Prices[[Small]:[XX-Large]],SingleLayout!$B$2,MATCH(G$6,Pr_Sizes,0))*VLOOKUP($D10,Tb_Qtys[],2,FALSE)),"X")</f>
        <v>21.00381517843967</v>
      </c>
      <c r="H10" s="10" t="str">
        <f>IFERROR(IF(OR(H$6=BL,$D10=BL),BL,INDEX(Tb_Prices[[Small]:[XX-Large]],SingleLayout!$B$2,MATCH(H$6,Pr_Sizes,0))*VLOOKUP($D10,Tb_Qtys[],2,FALSE)),"X")</f>
        <v/>
      </c>
      <c r="I10" s="10" t="str">
        <f>IFERROR(IF(OR(I$6=BL,$D10=BL),BL,INDEX(Tb_Prices[[Small]:[XX-Large]],SingleLayout!$B$2,MATCH(I$6,Pr_Sizes,0))*VLOOKUP($D10,Tb_Qtys[],2,FALSE)),"X")</f>
        <v/>
      </c>
      <c r="J10" s="10" t="str">
        <f>IFERROR(IF(OR(J$6=BL,$D10=BL),BL,INDEX(Tb_Prices[[Small]:[XX-Large]],SingleLayout!$B$2,MATCH(J$6,Pr_Sizes,0))*VLOOKUP($D10,Tb_Qtys[],2,FALSE)),"X")</f>
        <v/>
      </c>
      <c r="K10" s="10"/>
      <c r="L10" s="10"/>
      <c r="M10" s="10"/>
    </row>
    <row r="11" spans="1:13">
      <c r="D11">
        <f>IF(Legend!M6=0,BL,Legend!M6)</f>
        <v>100</v>
      </c>
      <c r="F11" s="10">
        <f>IFERROR(IF(OR(F$6=BL,$D11=BL),BL,INDEX(Tb_Prices[[Small]:[XX-Large]],SingleLayout!$B$2,MATCH(F$6,Pr_Sizes,0))*VLOOKUP($D11,Tb_Qtys[],2,FALSE)),"X")</f>
        <v>17.186055669091491</v>
      </c>
      <c r="G11" s="10">
        <f>IFERROR(IF(OR(G$6=BL,$D11=BL),BL,INDEX(Tb_Prices[[Small]:[XX-Large]],SingleLayout!$B$2,MATCH(G$6,Pr_Sizes,0))*VLOOKUP($D11,Tb_Qtys[],2,FALSE)),"X")</f>
        <v>20.279545689527957</v>
      </c>
      <c r="H11" s="10" t="str">
        <f>IFERROR(IF(OR(H$6=BL,$D11=BL),BL,INDEX(Tb_Prices[[Small]:[XX-Large]],SingleLayout!$B$2,MATCH(H$6,Pr_Sizes,0))*VLOOKUP($D11,Tb_Qtys[],2,FALSE)),"X")</f>
        <v/>
      </c>
      <c r="I11" s="10" t="str">
        <f>IFERROR(IF(OR(I$6=BL,$D11=BL),BL,INDEX(Tb_Prices[[Small]:[XX-Large]],SingleLayout!$B$2,MATCH(I$6,Pr_Sizes,0))*VLOOKUP($D11,Tb_Qtys[],2,FALSE)),"X")</f>
        <v/>
      </c>
      <c r="J11" s="10" t="str">
        <f>IFERROR(IF(OR(J$6=BL,$D11=BL),BL,INDEX(Tb_Prices[[Small]:[XX-Large]],SingleLayout!$B$2,MATCH(J$6,Pr_Sizes,0))*VLOOKUP($D11,Tb_Qtys[],2,FALSE)),"X")</f>
        <v/>
      </c>
      <c r="K11" s="10"/>
      <c r="L11" s="10"/>
      <c r="M11" s="10"/>
    </row>
    <row r="12" spans="1:13">
      <c r="D12">
        <f>IF(Legend!M7=0,BL,Legend!M7)</f>
        <v>150</v>
      </c>
      <c r="F12" s="10">
        <f>IFERROR(IF(OR(F$6=BL,$D12=BL),BL,INDEX(Tb_Prices[[Small]:[XX-Large]],SingleLayout!$B$2,MATCH(F$6,Pr_Sizes,0))*VLOOKUP($D12,Tb_Qtys[],2,FALSE)),"X")</f>
        <v>16.367672065801422</v>
      </c>
      <c r="G12" s="10">
        <f>IFERROR(IF(OR(G$6=BL,$D12=BL),BL,INDEX(Tb_Prices[[Small]:[XX-Large]],SingleLayout!$B$2,MATCH(G$6,Pr_Sizes,0))*VLOOKUP($D12,Tb_Qtys[],2,FALSE)),"X")</f>
        <v>19.313853037645675</v>
      </c>
      <c r="H12" s="10" t="str">
        <f>IFERROR(IF(OR(H$6=BL,$D12=BL),BL,INDEX(Tb_Prices[[Small]:[XX-Large]],SingleLayout!$B$2,MATCH(H$6,Pr_Sizes,0))*VLOOKUP($D12,Tb_Qtys[],2,FALSE)),"X")</f>
        <v/>
      </c>
      <c r="I12" s="10" t="str">
        <f>IFERROR(IF(OR(I$6=BL,$D12=BL),BL,INDEX(Tb_Prices[[Small]:[XX-Large]],SingleLayout!$B$2,MATCH(I$6,Pr_Sizes,0))*VLOOKUP($D12,Tb_Qtys[],2,FALSE)),"X")</f>
        <v/>
      </c>
      <c r="J12" s="10" t="str">
        <f>IFERROR(IF(OR(J$6=BL,$D12=BL),BL,INDEX(Tb_Prices[[Small]:[XX-Large]],SingleLayout!$B$2,MATCH(J$6,Pr_Sizes,0))*VLOOKUP($D12,Tb_Qtys[],2,FALSE)),"X")</f>
        <v/>
      </c>
      <c r="K12" s="10"/>
      <c r="L12" s="10"/>
      <c r="M12" s="10"/>
    </row>
    <row r="13" spans="1:13">
      <c r="B13" s="18"/>
      <c r="D13">
        <f>IF(Legend!M8=0,BL,Legend!M8)</f>
        <v>200</v>
      </c>
      <c r="F13" s="10">
        <f>IFERROR(IF(OR(F$6=BL,$D13=BL),BL,INDEX(Tb_Prices[[Small]:[XX-Large]],SingleLayout!$B$2,MATCH(F$6,Pr_Sizes,0))*VLOOKUP($D13,Tb_Qtys[],2,FALSE)),"X")</f>
        <v>15.344692561688831</v>
      </c>
      <c r="G13" s="10">
        <f>IFERROR(IF(OR(G$6=BL,$D13=BL),BL,INDEX(Tb_Prices[[Small]:[XX-Large]],SingleLayout!$B$2,MATCH(G$6,Pr_Sizes,0))*VLOOKUP($D13,Tb_Qtys[],2,FALSE)),"X")</f>
        <v>18.10673722279282</v>
      </c>
      <c r="H13" s="10" t="str">
        <f>IFERROR(IF(OR(H$6=BL,$D13=BL),BL,INDEX(Tb_Prices[[Small]:[XX-Large]],SingleLayout!$B$2,MATCH(H$6,Pr_Sizes,0))*VLOOKUP($D13,Tb_Qtys[],2,FALSE)),"X")</f>
        <v/>
      </c>
      <c r="I13" s="10" t="str">
        <f>IFERROR(IF(OR(I$6=BL,$D13=BL),BL,INDEX(Tb_Prices[[Small]:[XX-Large]],SingleLayout!$B$2,MATCH(I$6,Pr_Sizes,0))*VLOOKUP($D13,Tb_Qtys[],2,FALSE)),"X")</f>
        <v/>
      </c>
      <c r="J13" s="10" t="str">
        <f>IFERROR(IF(OR(J$6=BL,$D13=BL),BL,INDEX(Tb_Prices[[Small]:[XX-Large]],SingleLayout!$B$2,MATCH(J$6,Pr_Sizes,0))*VLOOKUP($D13,Tb_Qtys[],2,FALSE)),"X")</f>
        <v/>
      </c>
      <c r="K13" s="10"/>
      <c r="L13" s="10"/>
      <c r="M13" s="10"/>
    </row>
    <row r="14" spans="1:13">
      <c r="B14" s="18"/>
      <c r="D14" t="str">
        <f>IF(Legend!M9=0,BL,Legend!M9)</f>
        <v/>
      </c>
      <c r="F14" s="10" t="str">
        <f>IFERROR(IF(OR(F$6=BL,$D14=BL),BL,INDEX(Tb_Prices[[Small]:[XX-Large]],SingleLayout!$B$2,MATCH(F$6,Pr_Sizes,0))*VLOOKUP($D14,Tb_Qtys[],2,FALSE)),"X")</f>
        <v/>
      </c>
      <c r="G14" s="10" t="str">
        <f>IFERROR(IF(OR(G$6=BL,$D14=BL),BL,INDEX(Tb_Prices[[Small]:[XX-Large]],SingleLayout!$B$2,MATCH(G$6,Pr_Sizes,0))*VLOOKUP($D14,Tb_Qtys[],2,FALSE)),"X")</f>
        <v/>
      </c>
      <c r="H14" s="10" t="str">
        <f>IFERROR(IF(OR(H$6=BL,$D14=BL),BL,INDEX(Tb_Prices[[Small]:[XX-Large]],SingleLayout!$B$2,MATCH(H$6,Pr_Sizes,0))*VLOOKUP($D14,Tb_Qtys[],2,FALSE)),"X")</f>
        <v/>
      </c>
      <c r="I14" s="10" t="str">
        <f>IFERROR(IF(OR(I$6=BL,$D14=BL),BL,INDEX(Tb_Prices[[Small]:[XX-Large]],SingleLayout!$B$2,MATCH(I$6,Pr_Sizes,0))*VLOOKUP($D14,Tb_Qtys[],2,FALSE)),"X")</f>
        <v/>
      </c>
      <c r="J14" s="10" t="str">
        <f>IFERROR(IF(OR(J$6=BL,$D14=BL),BL,INDEX(Tb_Prices[[Small]:[XX-Large]],SingleLayout!$B$2,MATCH(J$6,Pr_Sizes,0))*VLOOKUP($D14,Tb_Qtys[],2,FALSE)),"X")</f>
        <v/>
      </c>
      <c r="K14" s="10"/>
      <c r="L14" s="10"/>
      <c r="M14" s="10"/>
    </row>
  </sheetData>
  <pageMargins left="0.7" right="0.7" top="0.75" bottom="0.75" header="0.3" footer="0.3"/>
  <pageSetup scale="5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Sht"/>
  <dimension ref="A1:Z33"/>
  <sheetViews>
    <sheetView tabSelected="1" workbookViewId="0">
      <selection activeCell="A34" sqref="A34:XFD1048576"/>
    </sheetView>
  </sheetViews>
  <sheetFormatPr defaultColWidth="0" defaultRowHeight="15" zeroHeight="1"/>
  <cols>
    <col min="1" max="19" width="9.140625" style="7" customWidth="1"/>
    <col min="20" max="26" width="0" style="7" hidden="1" customWidth="1"/>
    <col min="27" max="16384" width="9.140625" style="7" hidden="1"/>
  </cols>
  <sheetData>
    <row r="1" spans="4:26"/>
    <row r="2" spans="4:26" ht="15" customHeight="1">
      <c r="D2" s="48"/>
      <c r="E2" s="48"/>
      <c r="F2" s="48"/>
      <c r="G2" s="48"/>
      <c r="H2" s="48"/>
      <c r="I2" s="48"/>
      <c r="J2" s="6"/>
    </row>
    <row r="3" spans="4:26" ht="15" customHeight="1">
      <c r="D3" s="48"/>
      <c r="E3" s="48"/>
      <c r="F3" s="48"/>
      <c r="G3" s="48"/>
      <c r="H3" s="48"/>
      <c r="I3" s="48"/>
      <c r="J3" s="6"/>
      <c r="U3" s="13"/>
      <c r="V3" s="13"/>
      <c r="W3" s="13"/>
      <c r="X3" s="13"/>
      <c r="Y3" s="13"/>
      <c r="Z3" s="13"/>
    </row>
    <row r="4" spans="4:26" ht="15" customHeight="1">
      <c r="D4" s="48"/>
      <c r="E4" s="48"/>
      <c r="F4" s="48"/>
      <c r="G4" s="48"/>
      <c r="H4" s="48"/>
      <c r="I4" s="48"/>
      <c r="J4" s="6"/>
      <c r="K4" s="6"/>
      <c r="L4" s="6"/>
      <c r="M4" s="6"/>
      <c r="N4" s="6"/>
      <c r="O4" s="6"/>
      <c r="P4" s="6"/>
      <c r="Q4" s="6"/>
      <c r="R4" s="6"/>
      <c r="S4" s="6"/>
      <c r="T4" s="49"/>
      <c r="U4" s="49"/>
      <c r="V4" s="49"/>
      <c r="W4" s="49"/>
      <c r="X4" s="49"/>
      <c r="Y4" s="14"/>
      <c r="Z4" s="13"/>
    </row>
    <row r="5" spans="4:26" ht="15" customHeight="1">
      <c r="D5" s="48"/>
      <c r="E5" s="48"/>
      <c r="F5" s="48"/>
      <c r="G5" s="48"/>
      <c r="H5" s="48"/>
      <c r="I5" s="48"/>
      <c r="J5" s="6"/>
      <c r="K5" s="6"/>
      <c r="L5" s="6"/>
      <c r="M5" s="6"/>
      <c r="N5" s="6"/>
      <c r="O5" s="6"/>
      <c r="P5" s="6"/>
      <c r="Q5" s="6"/>
      <c r="R5" s="6"/>
      <c r="S5" s="6"/>
      <c r="T5" s="6"/>
    </row>
    <row r="6" spans="4:26" ht="15" customHeight="1">
      <c r="D6" s="48"/>
      <c r="E6" s="48"/>
      <c r="F6" s="48"/>
      <c r="G6" s="48"/>
      <c r="H6" s="48"/>
      <c r="I6" s="48"/>
      <c r="J6" s="6"/>
      <c r="K6" s="6"/>
      <c r="L6" s="6"/>
      <c r="M6" s="6"/>
      <c r="N6" s="6"/>
      <c r="O6" s="6"/>
      <c r="P6" s="6"/>
      <c r="Q6" s="6"/>
      <c r="R6" s="6"/>
      <c r="S6" s="6"/>
      <c r="T6" s="6"/>
    </row>
    <row r="7" spans="4:26" ht="15" customHeight="1">
      <c r="D7" s="6"/>
      <c r="E7" s="6"/>
      <c r="F7" s="6"/>
      <c r="G7" s="6"/>
      <c r="H7" s="6"/>
      <c r="I7" s="6"/>
      <c r="J7" s="6"/>
      <c r="K7" s="6"/>
      <c r="L7" s="6"/>
      <c r="M7" s="6"/>
      <c r="N7" s="6"/>
      <c r="O7" s="6"/>
      <c r="P7" s="6"/>
      <c r="Q7" s="6"/>
      <c r="R7" s="6"/>
      <c r="S7" s="6"/>
      <c r="T7" s="6"/>
      <c r="U7" s="6"/>
      <c r="V7" s="6"/>
    </row>
    <row r="8" spans="4:26" ht="15" customHeight="1">
      <c r="E8" s="6"/>
      <c r="F8" s="6"/>
      <c r="G8" s="6"/>
      <c r="H8" s="6"/>
      <c r="I8" s="6"/>
      <c r="J8" s="6"/>
    </row>
    <row r="9" spans="4:26" ht="15" customHeight="1">
      <c r="E9" s="6"/>
      <c r="F9" s="6"/>
      <c r="G9" s="6"/>
      <c r="H9" s="6"/>
      <c r="I9" s="6"/>
      <c r="J9" s="6"/>
      <c r="T9" s="49"/>
      <c r="U9" s="49"/>
      <c r="V9" s="49"/>
      <c r="W9" s="49"/>
      <c r="X9" s="49"/>
    </row>
    <row r="10" spans="4:26">
      <c r="J10" s="7" t="s">
        <v>12</v>
      </c>
    </row>
    <row r="11" spans="4:26"/>
    <row r="12" spans="4:26"/>
    <row r="13" spans="4:26"/>
    <row r="14" spans="4:26"/>
    <row r="15" spans="4:26"/>
    <row r="16" spans="4:26"/>
    <row r="17" spans="6:6"/>
    <row r="18" spans="6:6"/>
    <row r="19" spans="6:6"/>
    <row r="20" spans="6:6"/>
    <row r="21" spans="6:6"/>
    <row r="22" spans="6:6"/>
    <row r="23" spans="6:6"/>
    <row r="24" spans="6:6"/>
    <row r="25" spans="6:6"/>
    <row r="26" spans="6:6"/>
    <row r="27" spans="6:6"/>
    <row r="28" spans="6:6"/>
    <row r="29" spans="6:6">
      <c r="F29" s="7" t="s">
        <v>4</v>
      </c>
    </row>
    <row r="30" spans="6:6"/>
    <row r="31" spans="6:6"/>
    <row r="32" spans="6:6"/>
    <row r="33"/>
  </sheetData>
  <sheetProtection selectLockedCells="1" selectUnlockedCells="1"/>
  <mergeCells count="3">
    <mergeCell ref="D2:I6"/>
    <mergeCell ref="T9:X9"/>
    <mergeCell ref="T4:X4"/>
  </mergeCells>
  <printOptions horizontalCentered="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5"/>
  <sheetViews>
    <sheetView zoomScaleNormal="100" workbookViewId="0">
      <selection activeCell="C2" sqref="C2"/>
    </sheetView>
  </sheetViews>
  <sheetFormatPr defaultColWidth="0" defaultRowHeight="15" customHeight="1" zeroHeight="1"/>
  <cols>
    <col min="1" max="1" width="31" customWidth="1"/>
    <col min="2" max="2" width="1.28515625" style="11" customWidth="1"/>
    <col min="3" max="3" width="9.140625" customWidth="1"/>
    <col min="4" max="16384" width="9.140625" hidden="1"/>
  </cols>
  <sheetData>
    <row r="1" spans="1:3" s="11" customFormat="1" ht="20.100000000000001" customHeight="1">
      <c r="A1" s="36" t="s">
        <v>47</v>
      </c>
      <c r="B1" s="36"/>
      <c r="C1" s="11" t="s">
        <v>6</v>
      </c>
    </row>
    <row r="2" spans="1:3" ht="201.95" customHeight="1">
      <c r="A2" s="36"/>
      <c r="B2" s="36"/>
      <c r="C2" t="s">
        <v>55</v>
      </c>
    </row>
    <row r="3" spans="1:3" ht="201.95" customHeight="1">
      <c r="A3" s="36"/>
      <c r="B3" s="36"/>
      <c r="C3" s="11" t="s">
        <v>62</v>
      </c>
    </row>
    <row r="4" spans="1:3" ht="201.95" customHeight="1">
      <c r="A4" s="36"/>
      <c r="B4" s="36"/>
      <c r="C4" s="11" t="s">
        <v>63</v>
      </c>
    </row>
    <row r="5" spans="1:3" ht="201.95" customHeight="1">
      <c r="A5" s="36"/>
      <c r="B5" s="36"/>
      <c r="C5" s="11" t="s">
        <v>64</v>
      </c>
    </row>
    <row r="6" spans="1:3" ht="201.95" customHeight="1">
      <c r="A6" s="36"/>
      <c r="B6" s="36"/>
      <c r="C6" s="11" t="s">
        <v>65</v>
      </c>
    </row>
    <row r="7" spans="1:3" ht="201.95" customHeight="1">
      <c r="A7" s="36"/>
      <c r="B7" s="36"/>
      <c r="C7" s="11" t="s">
        <v>66</v>
      </c>
    </row>
    <row r="8" spans="1:3" ht="201.95" customHeight="1">
      <c r="A8" s="36"/>
      <c r="B8" s="36"/>
      <c r="C8" s="11" t="s">
        <v>67</v>
      </c>
    </row>
    <row r="9" spans="1:3" ht="201.95" customHeight="1">
      <c r="A9" s="36"/>
      <c r="B9" s="36"/>
      <c r="C9" s="11" t="s">
        <v>68</v>
      </c>
    </row>
    <row r="10" spans="1:3" ht="201.95" customHeight="1">
      <c r="A10" s="36"/>
      <c r="B10" s="36"/>
      <c r="C10" s="11" t="s">
        <v>69</v>
      </c>
    </row>
    <row r="11" spans="1:3" ht="201.95" customHeight="1">
      <c r="A11" s="36"/>
      <c r="B11" s="36"/>
      <c r="C11" s="11" t="s">
        <v>70</v>
      </c>
    </row>
    <row r="12" spans="1:3" ht="201.95" customHeight="1">
      <c r="A12" s="36"/>
      <c r="B12" s="36"/>
      <c r="C12" s="11" t="s">
        <v>71</v>
      </c>
    </row>
    <row r="13" spans="1:3" ht="201.95" customHeight="1">
      <c r="A13" s="36"/>
      <c r="B13" s="36"/>
      <c r="C13" s="11" t="s">
        <v>72</v>
      </c>
    </row>
    <row r="14" spans="1:3" ht="201.95" customHeight="1">
      <c r="A14" s="36"/>
      <c r="B14" s="36"/>
      <c r="C14" s="11" t="s">
        <v>73</v>
      </c>
    </row>
    <row r="15" spans="1:3" ht="201.95" customHeight="1">
      <c r="A15" s="36"/>
      <c r="B15" s="36"/>
      <c r="C15" s="11" t="s">
        <v>74</v>
      </c>
    </row>
    <row r="16" spans="1:3" ht="201.95" customHeight="1">
      <c r="A16" s="36"/>
      <c r="B16" s="36"/>
      <c r="C16" s="11" t="s">
        <v>75</v>
      </c>
    </row>
    <row r="17" spans="1:3" ht="201.95" customHeight="1">
      <c r="A17" s="36"/>
      <c r="B17" s="36"/>
      <c r="C17" s="11" t="s">
        <v>76</v>
      </c>
    </row>
    <row r="18" spans="1:3" ht="201.95" customHeight="1">
      <c r="A18" s="36"/>
      <c r="B18" s="36"/>
      <c r="C18" s="11" t="s">
        <v>77</v>
      </c>
    </row>
    <row r="19" spans="1:3" ht="201.95" customHeight="1">
      <c r="A19" s="36"/>
      <c r="B19" s="36"/>
      <c r="C19" s="11" t="s">
        <v>78</v>
      </c>
    </row>
    <row r="20" spans="1:3" ht="201.95" customHeight="1">
      <c r="A20" s="36"/>
      <c r="B20" s="36"/>
      <c r="C20" s="11" t="s">
        <v>79</v>
      </c>
    </row>
    <row r="21" spans="1:3" ht="201.95" customHeight="1">
      <c r="A21" s="36"/>
      <c r="B21" s="36"/>
      <c r="C21" s="11" t="s">
        <v>80</v>
      </c>
    </row>
    <row r="22" spans="1:3" ht="201.95" customHeight="1">
      <c r="A22" s="36"/>
      <c r="B22" s="36"/>
      <c r="C22" s="11" t="s">
        <v>81</v>
      </c>
    </row>
    <row r="23" spans="1:3" ht="201.95" customHeight="1">
      <c r="A23" s="36"/>
      <c r="B23" s="36"/>
      <c r="C23" s="11" t="s">
        <v>82</v>
      </c>
    </row>
    <row r="24" spans="1:3" ht="201.95" customHeight="1">
      <c r="A24" s="36"/>
      <c r="B24" s="36"/>
      <c r="C24" s="11" t="s">
        <v>83</v>
      </c>
    </row>
    <row r="25" spans="1:3" ht="201.95" customHeight="1">
      <c r="A25" s="36"/>
      <c r="B25" s="36"/>
      <c r="C25" s="11" t="s">
        <v>84</v>
      </c>
    </row>
    <row r="26" spans="1:3" ht="201.95" customHeight="1">
      <c r="A26" s="36"/>
      <c r="B26" s="36"/>
      <c r="C26" s="11" t="s">
        <v>85</v>
      </c>
    </row>
    <row r="27" spans="1:3" ht="201.95" customHeight="1">
      <c r="A27" s="36"/>
      <c r="B27" s="36"/>
      <c r="C27" s="11" t="s">
        <v>86</v>
      </c>
    </row>
    <row r="28" spans="1:3" ht="201.95" customHeight="1">
      <c r="A28" s="36"/>
      <c r="B28" s="36"/>
      <c r="C28" s="11" t="s">
        <v>87</v>
      </c>
    </row>
    <row r="29" spans="1:3" ht="201.95" customHeight="1">
      <c r="A29" s="36"/>
      <c r="B29" s="36"/>
      <c r="C29" s="11" t="s">
        <v>88</v>
      </c>
    </row>
    <row r="30" spans="1:3" ht="201.95" customHeight="1">
      <c r="A30" s="36"/>
      <c r="B30" s="36"/>
      <c r="C30" s="11" t="s">
        <v>89</v>
      </c>
    </row>
    <row r="31" spans="1:3" ht="201.95" customHeight="1">
      <c r="A31" s="36"/>
      <c r="B31" s="36"/>
      <c r="C31" s="11" t="s">
        <v>90</v>
      </c>
    </row>
    <row r="32" spans="1:3" ht="201.95" customHeight="1">
      <c r="A32" s="36"/>
      <c r="B32" s="36"/>
      <c r="C32" s="11" t="s">
        <v>91</v>
      </c>
    </row>
    <row r="33" spans="1:3" ht="201.95" customHeight="1">
      <c r="A33" s="36"/>
      <c r="B33" s="36"/>
      <c r="C33" s="11" t="s">
        <v>92</v>
      </c>
    </row>
    <row r="34" spans="1:3" ht="201.95" customHeight="1">
      <c r="A34" s="36"/>
      <c r="B34" s="36"/>
      <c r="C34" s="11" t="s">
        <v>93</v>
      </c>
    </row>
    <row r="35" spans="1:3" ht="201.95" customHeight="1">
      <c r="A35" s="36"/>
      <c r="B35" s="36"/>
      <c r="C35" s="11" t="s">
        <v>94</v>
      </c>
    </row>
    <row r="36" spans="1:3" ht="201.95" customHeight="1">
      <c r="A36" s="36"/>
      <c r="B36" s="36"/>
    </row>
    <row r="37" spans="1:3" ht="201.95" customHeight="1">
      <c r="A37" s="36"/>
      <c r="B37" s="36"/>
    </row>
    <row r="38" spans="1:3" ht="201.95" customHeight="1">
      <c r="A38" s="36"/>
      <c r="B38" s="36"/>
    </row>
    <row r="39" spans="1:3" ht="201.95" customHeight="1">
      <c r="A39" s="36"/>
      <c r="B39" s="36"/>
    </row>
    <row r="40" spans="1:3" ht="201.95" customHeight="1">
      <c r="A40" s="36"/>
      <c r="B40" s="36"/>
    </row>
    <row r="41" spans="1:3" ht="201.95" customHeight="1">
      <c r="A41" s="36"/>
      <c r="B41" s="36"/>
    </row>
    <row r="42" spans="1:3" ht="201.95" customHeight="1">
      <c r="A42" s="36"/>
      <c r="B42" s="36"/>
    </row>
    <row r="43" spans="1:3" ht="201.95" customHeight="1">
      <c r="A43" s="36"/>
      <c r="B43" s="36"/>
    </row>
    <row r="44" spans="1:3" ht="201.95" customHeight="1">
      <c r="A44" s="36"/>
      <c r="B44" s="36"/>
    </row>
    <row r="45" spans="1:3" ht="201.95" customHeight="1">
      <c r="A45" s="36"/>
      <c r="B45" s="36"/>
    </row>
    <row r="46" spans="1:3" ht="201.95" customHeight="1">
      <c r="A46" s="38"/>
      <c r="B46" s="38"/>
    </row>
    <row r="47" spans="1:3" ht="201.95" customHeight="1">
      <c r="A47" s="38"/>
      <c r="B47" s="38"/>
    </row>
    <row r="48" spans="1:3" ht="201.95" customHeight="1">
      <c r="A48" s="38"/>
      <c r="B48" s="38"/>
    </row>
    <row r="49" spans="1:2" ht="201.95" customHeight="1">
      <c r="A49" s="38"/>
      <c r="B49" s="38"/>
    </row>
    <row r="50" spans="1:2" ht="201.95" customHeight="1">
      <c r="A50" s="38"/>
      <c r="B50" s="38"/>
    </row>
    <row r="51" spans="1:2" ht="201.95" customHeight="1">
      <c r="A51" s="38"/>
      <c r="B51" s="38"/>
    </row>
    <row r="52" spans="1:2" ht="201.95" customHeight="1">
      <c r="A52" s="38"/>
      <c r="B52" s="38"/>
    </row>
    <row r="53" spans="1:2" ht="201.95" customHeight="1">
      <c r="A53" s="38"/>
      <c r="B53" s="38"/>
    </row>
    <row r="54" spans="1:2" ht="201.95" customHeight="1">
      <c r="A54" s="38"/>
      <c r="B54" s="38"/>
    </row>
    <row r="55" spans="1:2" ht="201.95" customHeight="1">
      <c r="A55" s="38"/>
      <c r="B55" s="38"/>
    </row>
  </sheetData>
  <sheetProtection sheet="1" objects="1" scenarios="1"/>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35"/>
  <sheetViews>
    <sheetView workbookViewId="0">
      <selection activeCell="A2" sqref="A2"/>
    </sheetView>
  </sheetViews>
  <sheetFormatPr defaultRowHeight="15"/>
  <cols>
    <col min="2" max="2" width="110.7109375" style="11" customWidth="1"/>
    <col min="3" max="3" width="9.85546875" customWidth="1"/>
    <col min="4" max="4" width="10" customWidth="1"/>
    <col min="5" max="5" width="9.140625" style="11"/>
    <col min="7" max="7" width="10.7109375" customWidth="1"/>
    <col min="9" max="9" width="9.7109375" customWidth="1"/>
    <col min="10" max="10" width="10.85546875" customWidth="1"/>
  </cols>
  <sheetData>
    <row r="1" spans="1:10">
      <c r="A1" t="s">
        <v>6</v>
      </c>
      <c r="B1" s="11" t="s">
        <v>54</v>
      </c>
      <c r="C1" t="s">
        <v>56</v>
      </c>
      <c r="D1" t="s">
        <v>58</v>
      </c>
      <c r="E1" s="11" t="s">
        <v>1</v>
      </c>
      <c r="F1" s="11" t="s">
        <v>49</v>
      </c>
      <c r="G1" s="11" t="s">
        <v>50</v>
      </c>
      <c r="H1" s="11" t="s">
        <v>51</v>
      </c>
      <c r="I1" s="11" t="s">
        <v>52</v>
      </c>
      <c r="J1" s="11" t="s">
        <v>53</v>
      </c>
    </row>
    <row r="2" spans="1:10">
      <c r="A2" t="s">
        <v>55</v>
      </c>
      <c r="B2" s="11" t="s">
        <v>14</v>
      </c>
      <c r="C2" t="s">
        <v>57</v>
      </c>
      <c r="D2" t="s">
        <v>59</v>
      </c>
      <c r="E2" s="11">
        <f>ROW()</f>
        <v>2</v>
      </c>
      <c r="F2">
        <v>6.8546289789491359</v>
      </c>
      <c r="G2" s="11">
        <v>7.7457307462125229</v>
      </c>
      <c r="H2" s="11">
        <v>9.1399622805307761</v>
      </c>
      <c r="I2" s="11">
        <v>11.150753982247547</v>
      </c>
      <c r="J2" s="11">
        <v>13.826934937986959</v>
      </c>
    </row>
    <row r="3" spans="1:10">
      <c r="A3" t="s">
        <v>62</v>
      </c>
      <c r="B3" s="11" t="s">
        <v>13</v>
      </c>
      <c r="C3" t="s">
        <v>57</v>
      </c>
      <c r="D3" t="s">
        <v>59</v>
      </c>
      <c r="E3" s="11">
        <f>ROW()</f>
        <v>3</v>
      </c>
      <c r="F3" s="11">
        <v>22.81248910399837</v>
      </c>
      <c r="G3" s="11">
        <v>25.778112687518156</v>
      </c>
      <c r="H3" s="11">
        <v>30.418172971271424</v>
      </c>
      <c r="I3" s="11">
        <v>37.110171024951136</v>
      </c>
      <c r="J3" s="11">
        <v>46.016612070939409</v>
      </c>
    </row>
    <row r="4" spans="1:10">
      <c r="A4" t="s">
        <v>63</v>
      </c>
      <c r="B4" s="11" t="s">
        <v>15</v>
      </c>
      <c r="C4" t="s">
        <v>57</v>
      </c>
      <c r="D4" t="s">
        <v>59</v>
      </c>
      <c r="E4" s="11">
        <f>ROW()</f>
        <v>4</v>
      </c>
      <c r="F4" s="11">
        <v>13.849516543993539</v>
      </c>
      <c r="G4" s="11">
        <v>15.649953694712698</v>
      </c>
      <c r="H4" s="11">
        <v>18.466945359760981</v>
      </c>
      <c r="I4" s="11">
        <v>22.529673338908395</v>
      </c>
      <c r="J4" s="11">
        <v>27.936794940246411</v>
      </c>
    </row>
    <row r="5" spans="1:10">
      <c r="A5" t="s">
        <v>64</v>
      </c>
      <c r="B5" s="11" t="s">
        <v>16</v>
      </c>
      <c r="C5" t="s">
        <v>57</v>
      </c>
      <c r="D5" t="s">
        <v>59</v>
      </c>
      <c r="E5" s="11">
        <f>ROW()</f>
        <v>5</v>
      </c>
      <c r="F5" s="11">
        <v>44</v>
      </c>
      <c r="G5" s="11" t="s">
        <v>101</v>
      </c>
      <c r="H5" s="11" t="s">
        <v>101</v>
      </c>
      <c r="I5" s="11" t="s">
        <v>101</v>
      </c>
      <c r="J5" s="11">
        <v>51.554325324176283</v>
      </c>
    </row>
    <row r="6" spans="1:10">
      <c r="A6" t="s">
        <v>65</v>
      </c>
      <c r="B6" s="11" t="s">
        <v>17</v>
      </c>
      <c r="C6" t="s">
        <v>57</v>
      </c>
      <c r="D6" t="s">
        <v>59</v>
      </c>
      <c r="E6" s="11">
        <f>ROW()</f>
        <v>6</v>
      </c>
      <c r="F6" s="11">
        <v>13.851165566463779</v>
      </c>
      <c r="G6" s="11">
        <v>15.651817090104069</v>
      </c>
      <c r="H6" s="11">
        <v>18.469144166322803</v>
      </c>
      <c r="I6" s="11">
        <v>22.532355882913819</v>
      </c>
      <c r="J6" s="11">
        <v>27.940121294813135</v>
      </c>
    </row>
    <row r="7" spans="1:10">
      <c r="A7" t="s">
        <v>66</v>
      </c>
      <c r="B7" s="11" t="s">
        <v>18</v>
      </c>
      <c r="C7" t="s">
        <v>57</v>
      </c>
      <c r="D7" t="s">
        <v>59</v>
      </c>
      <c r="E7" s="11">
        <f>ROW()</f>
        <v>7</v>
      </c>
      <c r="F7" s="11">
        <v>21.4323147516352</v>
      </c>
      <c r="G7" s="11">
        <v>24.218515669347774</v>
      </c>
      <c r="H7" s="11">
        <v>28.577848489830373</v>
      </c>
      <c r="I7" s="11">
        <v>34.864975157593051</v>
      </c>
      <c r="J7" s="11">
        <v>43.23256919541538</v>
      </c>
    </row>
    <row r="8" spans="1:10">
      <c r="A8" t="s">
        <v>67</v>
      </c>
      <c r="B8" s="11" t="s">
        <v>19</v>
      </c>
      <c r="C8" t="s">
        <v>57</v>
      </c>
      <c r="D8" t="s">
        <v>59</v>
      </c>
      <c r="E8" s="11">
        <f>ROW()</f>
        <v>8</v>
      </c>
      <c r="F8" s="11"/>
      <c r="G8" s="11"/>
      <c r="H8" s="11">
        <v>42.564008266836794</v>
      </c>
      <c r="I8" s="11">
        <v>51.928090085540887</v>
      </c>
      <c r="J8" s="11">
        <v>64.390831706070699</v>
      </c>
    </row>
    <row r="9" spans="1:10">
      <c r="A9" t="s">
        <v>68</v>
      </c>
      <c r="B9" s="11" t="s">
        <v>22</v>
      </c>
      <c r="C9" t="s">
        <v>57</v>
      </c>
      <c r="D9" t="s">
        <v>59</v>
      </c>
      <c r="E9" s="11">
        <f>ROW()</f>
        <v>9</v>
      </c>
      <c r="F9" s="11">
        <v>43.151653286900327</v>
      </c>
      <c r="G9" s="11">
        <v>48.761368214197368</v>
      </c>
      <c r="H9" s="11">
        <v>57.538414492752892</v>
      </c>
      <c r="I9" s="11">
        <v>70.196865681158528</v>
      </c>
      <c r="J9" s="11">
        <v>87.044113444636579</v>
      </c>
    </row>
    <row r="10" spans="1:10">
      <c r="A10" t="s">
        <v>69</v>
      </c>
      <c r="B10" s="11" t="s">
        <v>21</v>
      </c>
      <c r="C10" t="s">
        <v>57</v>
      </c>
      <c r="D10" t="s">
        <v>59</v>
      </c>
      <c r="E10" s="11">
        <f>ROW()</f>
        <v>10</v>
      </c>
      <c r="F10" s="11">
        <v>6.2146866171391562</v>
      </c>
      <c r="G10" s="11">
        <v>7.0225958773672454</v>
      </c>
      <c r="H10" s="11">
        <v>8.2866631352933489</v>
      </c>
      <c r="I10" s="11">
        <v>10.109729025057886</v>
      </c>
      <c r="J10" s="11">
        <v>12.536063991071778</v>
      </c>
    </row>
    <row r="11" spans="1:10">
      <c r="A11" t="s">
        <v>70</v>
      </c>
      <c r="B11" s="11" t="s">
        <v>20</v>
      </c>
      <c r="C11" t="s">
        <v>57</v>
      </c>
      <c r="D11" t="s">
        <v>59</v>
      </c>
      <c r="E11" s="11">
        <f>ROW()</f>
        <v>11</v>
      </c>
      <c r="F11" s="11">
        <v>38.189029971197584</v>
      </c>
      <c r="G11" s="11">
        <v>43.153603867453263</v>
      </c>
      <c r="H11" s="11">
        <v>50.921252563594848</v>
      </c>
      <c r="I11" s="11">
        <v>62.123928127585714</v>
      </c>
      <c r="J11" s="11">
        <v>77.03367087820628</v>
      </c>
    </row>
    <row r="12" spans="1:10">
      <c r="A12" t="s">
        <v>71</v>
      </c>
      <c r="B12" s="11" t="s">
        <v>23</v>
      </c>
      <c r="C12" t="s">
        <v>57</v>
      </c>
      <c r="D12" t="s">
        <v>59</v>
      </c>
      <c r="E12" s="11">
        <f>ROW()</f>
        <v>12</v>
      </c>
      <c r="F12" s="11">
        <v>38.426088340208672</v>
      </c>
      <c r="G12" s="11">
        <v>43.421479824435792</v>
      </c>
      <c r="H12" s="11">
        <v>51.237346192834231</v>
      </c>
      <c r="I12" s="11">
        <v>62.509562355257763</v>
      </c>
      <c r="J12" s="11">
        <v>77.511857320519624</v>
      </c>
    </row>
    <row r="13" spans="1:10">
      <c r="A13" t="s">
        <v>72</v>
      </c>
      <c r="B13" s="11" t="s">
        <v>24</v>
      </c>
      <c r="C13" t="s">
        <v>60</v>
      </c>
      <c r="D13" t="s">
        <v>59</v>
      </c>
      <c r="E13" s="11">
        <f>ROW()</f>
        <v>13</v>
      </c>
      <c r="F13" s="11">
        <v>4.1596066813450188</v>
      </c>
      <c r="G13" s="11">
        <v>4.7003555499198706</v>
      </c>
      <c r="H13" s="11">
        <v>5.5464195489054466</v>
      </c>
      <c r="I13" s="11">
        <v>6.7666318496646447</v>
      </c>
      <c r="J13" s="11">
        <v>8.3906234935841599</v>
      </c>
    </row>
    <row r="14" spans="1:10">
      <c r="A14" t="s">
        <v>73</v>
      </c>
      <c r="B14" s="11" t="s">
        <v>25</v>
      </c>
      <c r="C14" t="s">
        <v>60</v>
      </c>
      <c r="D14" t="s">
        <v>59</v>
      </c>
      <c r="E14" s="11">
        <f>ROW()</f>
        <v>14</v>
      </c>
      <c r="F14" s="11">
        <v>4.3931983611956298</v>
      </c>
      <c r="G14" s="11">
        <v>4.9643141481510611</v>
      </c>
      <c r="H14" s="11">
        <v>5.8578906948182521</v>
      </c>
      <c r="I14" s="11">
        <v>7.1466266476782678</v>
      </c>
      <c r="J14" s="11">
        <v>8.8618170431210519</v>
      </c>
    </row>
    <row r="15" spans="1:10">
      <c r="A15" t="s">
        <v>74</v>
      </c>
      <c r="B15" s="11" t="s">
        <v>26</v>
      </c>
      <c r="C15" t="s">
        <v>60</v>
      </c>
      <c r="D15" t="s">
        <v>59</v>
      </c>
      <c r="E15" s="11">
        <f>ROW()</f>
        <v>15</v>
      </c>
      <c r="F15" s="11">
        <v>40.495750767356228</v>
      </c>
      <c r="G15" s="11">
        <v>45.76019836711253</v>
      </c>
      <c r="H15" s="11">
        <v>53.997034073192779</v>
      </c>
      <c r="I15" s="11">
        <v>65.876381569295191</v>
      </c>
      <c r="J15" s="11">
        <v>81.686713145926035</v>
      </c>
    </row>
    <row r="16" spans="1:10">
      <c r="A16" t="s">
        <v>75</v>
      </c>
      <c r="B16" s="11" t="s">
        <v>27</v>
      </c>
      <c r="C16" t="s">
        <v>60</v>
      </c>
      <c r="D16" t="s">
        <v>59</v>
      </c>
      <c r="E16" s="11">
        <f>ROW()</f>
        <v>16</v>
      </c>
      <c r="F16" s="11">
        <v>20.26433148084358</v>
      </c>
      <c r="G16" s="11">
        <v>22.898694573353243</v>
      </c>
      <c r="H16" s="11">
        <v>27.020459596556826</v>
      </c>
      <c r="I16" s="11">
        <v>32.964960707799328</v>
      </c>
      <c r="J16" s="11">
        <v>40.876551277671169</v>
      </c>
    </row>
    <row r="17" spans="1:10">
      <c r="A17" t="s">
        <v>76</v>
      </c>
      <c r="B17" s="11" t="s">
        <v>28</v>
      </c>
      <c r="C17" t="s">
        <v>60</v>
      </c>
      <c r="D17" t="s">
        <v>59</v>
      </c>
      <c r="E17" s="11">
        <f>ROW()</f>
        <v>17</v>
      </c>
      <c r="F17" s="11">
        <v>42.489511576301041</v>
      </c>
      <c r="G17" s="11"/>
      <c r="H17" s="11"/>
      <c r="I17" s="11"/>
      <c r="J17" s="11"/>
    </row>
    <row r="18" spans="1:10">
      <c r="A18" t="s">
        <v>77</v>
      </c>
      <c r="B18" s="11" t="s">
        <v>29</v>
      </c>
      <c r="C18" t="s">
        <v>60</v>
      </c>
      <c r="D18" t="s">
        <v>59</v>
      </c>
      <c r="E18" s="11">
        <f>ROW()</f>
        <v>18</v>
      </c>
      <c r="F18" s="11">
        <v>27.350118234055856</v>
      </c>
      <c r="G18" s="11">
        <v>30.905633604483114</v>
      </c>
      <c r="H18" s="11">
        <v>36.46864765329007</v>
      </c>
      <c r="I18" s="11">
        <v>44.491750137013881</v>
      </c>
      <c r="J18" s="11">
        <v>55.169770169897212</v>
      </c>
    </row>
    <row r="19" spans="1:10">
      <c r="A19" t="s">
        <v>78</v>
      </c>
      <c r="B19" s="11" t="s">
        <v>30</v>
      </c>
      <c r="C19" t="s">
        <v>60</v>
      </c>
      <c r="D19" t="s">
        <v>59</v>
      </c>
      <c r="E19" s="11">
        <f>ROW()</f>
        <v>19</v>
      </c>
      <c r="F19" s="11">
        <v>9.3311060009127171</v>
      </c>
      <c r="G19" s="11">
        <v>10.54414978103137</v>
      </c>
      <c r="H19" s="11">
        <v>12.442096741617016</v>
      </c>
      <c r="I19" s="11">
        <v>15.179358024772759</v>
      </c>
      <c r="J19" s="11">
        <v>18.822403950718222</v>
      </c>
    </row>
    <row r="20" spans="1:10">
      <c r="A20" t="s">
        <v>79</v>
      </c>
      <c r="B20" s="11" t="s">
        <v>31</v>
      </c>
      <c r="C20" t="s">
        <v>60</v>
      </c>
      <c r="D20" t="s">
        <v>59</v>
      </c>
      <c r="E20" s="11">
        <f>ROW()</f>
        <v>20</v>
      </c>
      <c r="F20" s="11">
        <v>41.772492641130185</v>
      </c>
      <c r="G20" s="11">
        <v>47.202916684477103</v>
      </c>
      <c r="H20" s="11">
        <v>55.699441687682977</v>
      </c>
      <c r="I20" s="11">
        <v>67.953318858973233</v>
      </c>
      <c r="J20" s="11">
        <v>84.262115385126805</v>
      </c>
    </row>
    <row r="21" spans="1:10">
      <c r="A21" t="s">
        <v>80</v>
      </c>
      <c r="B21" s="11" t="s">
        <v>32</v>
      </c>
      <c r="C21" t="s">
        <v>60</v>
      </c>
      <c r="D21" t="s">
        <v>59</v>
      </c>
      <c r="E21" s="11">
        <f>ROW()</f>
        <v>21</v>
      </c>
      <c r="F21" s="11"/>
      <c r="G21" s="11">
        <v>26.215081910871877</v>
      </c>
      <c r="H21" s="11">
        <v>30.933796654828814</v>
      </c>
      <c r="I21" s="11">
        <v>37.73923191889115</v>
      </c>
      <c r="J21" s="11">
        <v>46.796647579425027</v>
      </c>
    </row>
    <row r="22" spans="1:10">
      <c r="A22" t="s">
        <v>81</v>
      </c>
      <c r="B22" s="11" t="s">
        <v>33</v>
      </c>
      <c r="C22" t="s">
        <v>60</v>
      </c>
      <c r="D22" t="s">
        <v>59</v>
      </c>
      <c r="E22" s="11">
        <f>ROW()</f>
        <v>22</v>
      </c>
      <c r="F22" s="11">
        <v>2.2907431221383203</v>
      </c>
      <c r="G22" s="11">
        <v>2.5885397280163018</v>
      </c>
      <c r="H22" s="11">
        <v>3.0544768790592358</v>
      </c>
      <c r="I22" s="11">
        <v>3.7264617924522678</v>
      </c>
      <c r="J22" s="11">
        <v>4.6208126226408117</v>
      </c>
    </row>
    <row r="23" spans="1:10">
      <c r="A23" t="s">
        <v>82</v>
      </c>
      <c r="B23" s="11" t="s">
        <v>34</v>
      </c>
      <c r="C23" t="s">
        <v>60</v>
      </c>
      <c r="D23" t="s">
        <v>59</v>
      </c>
      <c r="E23" s="11">
        <f>ROW()</f>
        <v>23</v>
      </c>
      <c r="F23" s="11">
        <v>11.38658166100036</v>
      </c>
      <c r="G23" s="11">
        <v>12.866837276930406</v>
      </c>
      <c r="H23" s="11">
        <v>15.182867986777879</v>
      </c>
      <c r="I23" s="11">
        <v>18.523098943869012</v>
      </c>
      <c r="J23" s="11">
        <v>22.968642690397576</v>
      </c>
    </row>
    <row r="24" spans="1:10">
      <c r="A24" t="s">
        <v>83</v>
      </c>
      <c r="B24" s="11" t="s">
        <v>35</v>
      </c>
      <c r="C24" t="s">
        <v>57</v>
      </c>
      <c r="D24" t="s">
        <v>61</v>
      </c>
      <c r="E24" s="11">
        <f>ROW()</f>
        <v>24</v>
      </c>
      <c r="F24" s="11">
        <v>41.973973965193295</v>
      </c>
      <c r="G24" s="11">
        <v>47.430590580668422</v>
      </c>
      <c r="H24" s="11">
        <v>55.968096885188736</v>
      </c>
      <c r="I24" s="11">
        <v>68.281078199930249</v>
      </c>
      <c r="J24" s="11">
        <v>84.668536967913511</v>
      </c>
    </row>
    <row r="25" spans="1:10">
      <c r="A25" t="s">
        <v>84</v>
      </c>
      <c r="B25" s="11" t="s">
        <v>36</v>
      </c>
      <c r="C25" t="s">
        <v>57</v>
      </c>
      <c r="D25" t="s">
        <v>61</v>
      </c>
      <c r="E25" s="11">
        <f>ROW()</f>
        <v>25</v>
      </c>
      <c r="F25" s="11"/>
      <c r="G25" s="11"/>
      <c r="H25" s="11"/>
      <c r="I25" s="11"/>
      <c r="J25" s="11">
        <v>69.395221919541797</v>
      </c>
    </row>
    <row r="26" spans="1:10">
      <c r="A26" t="s">
        <v>85</v>
      </c>
      <c r="B26" s="11" t="s">
        <v>37</v>
      </c>
      <c r="C26" t="s">
        <v>57</v>
      </c>
      <c r="D26" t="s">
        <v>61</v>
      </c>
      <c r="E26" s="11">
        <f>ROW()</f>
        <v>26</v>
      </c>
      <c r="F26" s="11">
        <v>20.384572966962953</v>
      </c>
      <c r="G26" s="11">
        <v>23.034567452668135</v>
      </c>
      <c r="H26" s="11">
        <v>27.180789594148397</v>
      </c>
      <c r="I26" s="11">
        <v>33.160563304861043</v>
      </c>
      <c r="J26" s="11">
        <v>41.119098498027689</v>
      </c>
    </row>
    <row r="27" spans="1:10">
      <c r="A27" t="s">
        <v>86</v>
      </c>
      <c r="B27" s="11" t="s">
        <v>38</v>
      </c>
      <c r="C27" t="s">
        <v>57</v>
      </c>
      <c r="D27" t="s">
        <v>61</v>
      </c>
      <c r="E27" s="11">
        <f>ROW()</f>
        <v>27</v>
      </c>
      <c r="F27" s="11">
        <v>33.461385741624511</v>
      </c>
      <c r="G27" s="11">
        <v>37.811365888035695</v>
      </c>
      <c r="H27" s="11">
        <v>44.617411747882116</v>
      </c>
      <c r="I27" s="11">
        <v>54.433242332416178</v>
      </c>
      <c r="J27" s="11">
        <v>67.497220492196064</v>
      </c>
    </row>
    <row r="28" spans="1:10">
      <c r="A28" t="s">
        <v>87</v>
      </c>
      <c r="B28" s="11" t="s">
        <v>39</v>
      </c>
      <c r="C28" t="s">
        <v>57</v>
      </c>
      <c r="D28" t="s">
        <v>61</v>
      </c>
      <c r="E28" s="11">
        <f>ROW()</f>
        <v>28</v>
      </c>
      <c r="F28" s="11"/>
      <c r="G28" s="11">
        <v>26.23530429153244</v>
      </c>
      <c r="H28" s="11">
        <v>30.957659064008279</v>
      </c>
      <c r="I28" s="11">
        <v>37.768344058090101</v>
      </c>
      <c r="J28" s="11">
        <v>46.832746632031721</v>
      </c>
    </row>
    <row r="29" spans="1:10">
      <c r="A29" t="s">
        <v>88</v>
      </c>
      <c r="B29" s="11" t="s">
        <v>40</v>
      </c>
      <c r="C29" t="s">
        <v>57</v>
      </c>
      <c r="D29" t="s">
        <v>61</v>
      </c>
      <c r="E29" s="11">
        <f>ROW()</f>
        <v>29</v>
      </c>
      <c r="F29" s="11">
        <v>23.24588805616311</v>
      </c>
      <c r="G29" s="11">
        <v>26.267853503464313</v>
      </c>
      <c r="H29" s="11">
        <v>30.996067134087887</v>
      </c>
      <c r="I29" s="11">
        <v>37.815201903587223</v>
      </c>
      <c r="J29" s="11">
        <v>46.890850360448155</v>
      </c>
    </row>
    <row r="30" spans="1:10">
      <c r="A30" t="s">
        <v>89</v>
      </c>
      <c r="B30" s="11" t="s">
        <v>41</v>
      </c>
      <c r="C30" t="s">
        <v>57</v>
      </c>
      <c r="D30" t="s">
        <v>61</v>
      </c>
      <c r="E30" s="11">
        <f>ROW()</f>
        <v>30</v>
      </c>
      <c r="F30" s="11">
        <v>25.52053359053636</v>
      </c>
      <c r="G30" s="11">
        <v>28.838202957306084</v>
      </c>
      <c r="H30" s="11">
        <v>34.029079489621175</v>
      </c>
      <c r="I30" s="11">
        <v>41.515476977337833</v>
      </c>
      <c r="J30" s="11">
        <v>51.479191451898913</v>
      </c>
    </row>
    <row r="31" spans="1:10">
      <c r="A31" t="s">
        <v>90</v>
      </c>
      <c r="B31" s="11" t="s">
        <v>42</v>
      </c>
      <c r="C31" t="s">
        <v>60</v>
      </c>
      <c r="D31" t="s">
        <v>61</v>
      </c>
      <c r="E31" s="11">
        <f>ROW()</f>
        <v>31</v>
      </c>
      <c r="F31" s="11">
        <v>21.381786841845006</v>
      </c>
      <c r="G31" s="11">
        <v>24.161419131284855</v>
      </c>
      <c r="H31" s="11">
        <v>28.510474574916127</v>
      </c>
      <c r="I31" s="11">
        <v>34.782778981397676</v>
      </c>
      <c r="J31" s="11">
        <v>43.130645936933121</v>
      </c>
    </row>
    <row r="32" spans="1:10">
      <c r="A32" t="s">
        <v>91</v>
      </c>
      <c r="B32" s="11" t="s">
        <v>43</v>
      </c>
      <c r="C32" t="s">
        <v>60</v>
      </c>
      <c r="D32" t="s">
        <v>61</v>
      </c>
      <c r="E32" s="11">
        <f>ROW()</f>
        <v>32</v>
      </c>
      <c r="F32" s="11">
        <v>35.144499156148171</v>
      </c>
      <c r="G32" s="11"/>
      <c r="H32" s="11"/>
      <c r="I32" s="11"/>
      <c r="J32" s="11">
        <v>70.892342204449491</v>
      </c>
    </row>
    <row r="33" spans="1:10">
      <c r="A33" t="s">
        <v>92</v>
      </c>
      <c r="B33" s="11" t="s">
        <v>44</v>
      </c>
      <c r="C33" t="s">
        <v>60</v>
      </c>
      <c r="D33" t="s">
        <v>61</v>
      </c>
      <c r="E33" s="11">
        <f>ROW()</f>
        <v>33</v>
      </c>
      <c r="F33" s="11">
        <v>30.577550666366335</v>
      </c>
      <c r="G33" s="11">
        <v>34.552632252993952</v>
      </c>
      <c r="H33" s="11">
        <v>40.772106058532863</v>
      </c>
      <c r="I33" s="11">
        <v>49.741969391410095</v>
      </c>
      <c r="J33" s="11">
        <v>61.680042045348515</v>
      </c>
    </row>
    <row r="34" spans="1:10">
      <c r="A34" t="s">
        <v>93</v>
      </c>
      <c r="B34" s="11" t="s">
        <v>45</v>
      </c>
      <c r="C34" t="s">
        <v>60</v>
      </c>
      <c r="D34" t="s">
        <v>61</v>
      </c>
      <c r="E34" s="11">
        <f>ROW()</f>
        <v>34</v>
      </c>
      <c r="F34" s="11">
        <v>31.480765596552676</v>
      </c>
      <c r="G34" s="11">
        <v>35.573265124104523</v>
      </c>
      <c r="H34" s="11">
        <v>41.976452846443337</v>
      </c>
      <c r="I34" s="11">
        <v>51.211272472660873</v>
      </c>
      <c r="J34" s="11">
        <v>63.50197786609948</v>
      </c>
    </row>
    <row r="35" spans="1:10">
      <c r="A35" t="s">
        <v>94</v>
      </c>
      <c r="B35" s="11" t="s">
        <v>46</v>
      </c>
      <c r="C35" t="s">
        <v>60</v>
      </c>
      <c r="D35" t="s">
        <v>61</v>
      </c>
      <c r="E35" s="11">
        <f>ROW()</f>
        <v>35</v>
      </c>
      <c r="F35" s="11">
        <v>18.105831931196263</v>
      </c>
      <c r="G35" s="11">
        <v>20.459590082251776</v>
      </c>
      <c r="H35" s="11">
        <v>24.142316297057093</v>
      </c>
      <c r="I35" s="11">
        <v>29.453625882409654</v>
      </c>
      <c r="J35" s="11">
        <v>36.522496094187971</v>
      </c>
    </row>
  </sheetData>
  <sheetProtection sheet="1" objects="1" scenarios="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8"/>
  <sheetViews>
    <sheetView workbookViewId="0">
      <selection activeCell="B5" sqref="B5"/>
    </sheetView>
  </sheetViews>
  <sheetFormatPr defaultRowHeight="15"/>
  <sheetData>
    <row r="1" spans="1:2">
      <c r="A1" t="s">
        <v>2</v>
      </c>
      <c r="B1" t="s">
        <v>102</v>
      </c>
    </row>
    <row r="2" spans="1:2">
      <c r="A2">
        <v>10</v>
      </c>
      <c r="B2">
        <v>0.98</v>
      </c>
    </row>
    <row r="3" spans="1:2">
      <c r="A3">
        <v>25</v>
      </c>
      <c r="B3">
        <v>0.95</v>
      </c>
    </row>
    <row r="4" spans="1:2">
      <c r="A4">
        <v>50</v>
      </c>
      <c r="B4">
        <v>0.9</v>
      </c>
    </row>
    <row r="5" spans="1:2">
      <c r="A5">
        <v>75</v>
      </c>
      <c r="B5">
        <v>0.87</v>
      </c>
    </row>
    <row r="6" spans="1:2">
      <c r="A6">
        <v>100</v>
      </c>
      <c r="B6">
        <v>0.84</v>
      </c>
    </row>
    <row r="7" spans="1:2">
      <c r="A7">
        <v>150</v>
      </c>
      <c r="B7">
        <v>0.8</v>
      </c>
    </row>
    <row r="8" spans="1:2">
      <c r="A8">
        <v>200</v>
      </c>
      <c r="B8">
        <v>0.75</v>
      </c>
    </row>
  </sheetData>
  <sheetProtection sheet="1" objects="1" scenarios="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PDF Layout</vt:lpstr>
      <vt:lpstr>Legend</vt:lpstr>
      <vt:lpstr>SingleLayout</vt:lpstr>
      <vt:lpstr>Dashboard</vt:lpstr>
      <vt:lpstr>Product Pics</vt:lpstr>
      <vt:lpstr>Products Pricing</vt:lpstr>
      <vt:lpstr>Discounts</vt:lpstr>
      <vt:lpstr>LG_ModelsCount</vt:lpstr>
      <vt:lpstr>LG_RequiredSizesCount</vt:lpstr>
      <vt:lpstr>LG_SelectedModels</vt:lpstr>
      <vt:lpstr>Pr_Sizes</vt:lpstr>
      <vt:lpstr>'PDF Layout'!Print_Area</vt:lpstr>
      <vt:lpstr>SingleLayoutCells</vt:lpstr>
      <vt:lpstr>SingleLayoutPic</vt:lpstr>
      <vt:lpstr>SL_ItemRaw</vt:lpstr>
      <vt:lpstr>SL_PutModelHere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JeeLyCooLa</cp:lastModifiedBy>
  <cp:lastPrinted>2018-11-03T14:45:06Z</cp:lastPrinted>
  <dcterms:created xsi:type="dcterms:W3CDTF">2015-06-05T18:17:20Z</dcterms:created>
  <dcterms:modified xsi:type="dcterms:W3CDTF">2018-11-03T15:01:36Z</dcterms:modified>
</cp:coreProperties>
</file>